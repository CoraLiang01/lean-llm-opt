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146da1600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1e8c13ad78264df4"/>
    <x:sheet xmlns:r="http://schemas.openxmlformats.org/officeDocument/2006/relationships" name="分类与Route" sheetId="2" r:id="Re873c0c1d47c4a41"/>
    <x:sheet xmlns:r="http://schemas.openxmlformats.org/officeDocument/2006/relationships" name="逐题对比" sheetId="3" r:id="R2cc0a86a27cb4689"/>
    <x:sheet xmlns:r="http://schemas.openxmlformats.org/officeDocument/2006/relationships" name="逐题结果" sheetId="4" r:id="R720d01d65930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00;[Red](#,##0.0000);0.0000"/>
    <x:numFmt numFmtId="202" formatCode="0.00%"/>
  </x:numFmts>
  <x:fonts count="6">
    <x:font>
      <x:sz val="11"/>
      <x:name val="Carlito"/>
    </x:font>
    <x:font>
      <x:sz val="10"/>
      <x:color rgb="FF16324F"/>
      <x:name val="Arial"/>
    </x:font>
    <x:font>
      <x:b/>
      <x:sz val="16"/>
      <x:color rgb="FF16324F"/>
      <x:name val="Arial"/>
    </x:font>
    <x:font>
      <x:sz val="10"/>
      <x:color rgb="FF586A78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17C83"/>
      </x:patternFill>
    </x:fill>
    <x:fill>
      <x:patternFill patternType="solid">
        <x:fgColor rgb="FFEAF3F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d5a27eee34a9d" /><Relationship Type="http://schemas.openxmlformats.org/officeDocument/2006/relationships/theme" Target="/xl/theme/theme1.xml" Id="Ra629943448bd40c3" /><Relationship Type="http://schemas.openxmlformats.org/officeDocument/2006/relationships/sharedStrings" Target="/xl/sharedStrings.xml" Id="R1821d0538a0e4f80" /><Relationship Type="http://schemas.openxmlformats.org/officeDocument/2006/relationships/worksheet" Target="/xl/worksheets/sheet1.xml" Id="R1e8c13ad78264df4" /><Relationship Type="http://schemas.openxmlformats.org/officeDocument/2006/relationships/worksheet" Target="/xl/worksheets/sheet2.xml" Id="Re873c0c1d47c4a41" /><Relationship Type="http://schemas.openxmlformats.org/officeDocument/2006/relationships/worksheet" Target="/xl/worksheets/sheet3.xml" Id="R2cc0a86a27cb4689" /><Relationship Type="http://schemas.openxmlformats.org/officeDocument/2006/relationships/worksheet" Target="/xl/worksheets/sheet4.xml" Id="R720d01d6593044fe" /></Relationships>
</file>

<file path=xl/tables/table1.xml><?xml version="1.0" encoding="utf-8"?>
<x:table xmlns:x="http://schemas.openxmlformats.org/spreadsheetml/2006/main" id="2" name="RouteGroups" displayName="RouteGroups" ref="A4:G27" headerRowCount="1" totalsRowCount="0" totalsRowShown="0">
  <x:autoFilter ref="A4:G27"/>
  <x:tableColumns count="7">
    <x:tableColumn id="1" name="实验"/>
    <x:tableColumn id="2" name="真实类别"/>
    <x:tableColumn id="3" name="预测标签"/>
    <x:tableColumn id="4" name="选择 route"/>
    <x:tableColumn id="5" name="题数"/>
    <x:tableColumn id="6" name="求解成功"/>
    <x:tableColumn id="7" name="目标匹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airedCases" displayName="PairedCases" ref="A4:P105" headerRowCount="1" totalsRowCount="0" totalsRowShown="0">
  <x:autoFilter ref="A4:P105"/>
  <x:tableColumns count="16">
    <x:tableColumn id="1" name="题号"/>
    <x:tableColumn id="2" name="真实类别"/>
    <x:tableColumn id="3" name="参考目标值"/>
    <x:tableColumn id="4" name="实验1 预测"/>
    <x:tableColumn id="5" name="实验1 route"/>
    <x:tableColumn id="6" name="实验1 求解"/>
    <x:tableColumn id="7" name="实验1 匹配"/>
    <x:tableColumn id="8" name="实验1 目标值"/>
    <x:tableColumn id="9" name="实验2 预测"/>
    <x:tableColumn id="10" name="实验2 route"/>
    <x:tableColumn id="11" name="实验2 求解"/>
    <x:tableColumn id="12" name="实验2 匹配"/>
    <x:tableColumn id="13" name="实验2 目标值"/>
    <x:tableColumn id="14" name="匹配变化"/>
    <x:tableColumn id="15" name="实验1 错误"/>
    <x:tableColumn id="16" name="实验2 错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CaseResults" displayName="CaseResults" ref="A4:S206" headerRowCount="1" totalsRowCount="0" totalsRowShown="0">
  <x:autoFilter ref="A4:S206"/>
  <x:tableColumns count="19">
    <x:tableColumn id="1" name="实验"/>
    <x:tableColumn id="2" name="题号"/>
    <x:tableColumn id="3" name="真实类别"/>
    <x:tableColumn id="4" name="预测标签"/>
    <x:tableColumn id="5" name="选择 route"/>
    <x:tableColumn id="6" name="禁用 route"/>
    <x:tableColumn id="7" name="路由合规"/>
    <x:tableColumn id="8" name="分类正确"/>
    <x:tableColumn id="9" name="求解成功"/>
    <x:tableColumn id="10" name="目标匹配"/>
    <x:tableColumn id="11" name="所得目标值"/>
    <x:tableColumn id="12" name="参考目标值"/>
    <x:tableColumn id="13" name="绝对误差"/>
    <x:tableColumn id="14" name="相对误差"/>
    <x:tableColumn id="15" name="结果"/>
    <x:tableColumn id="16" name="最终阶段"/>
    <x:tableColumn id="17" name="错误类型"/>
    <x:tableColumn id="18" name="允许标签"/>
    <x:tableColumn id="19" name="真实route一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b30031ed594b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2480d7766d43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c20bbd108946a0" /></Relationships>
</file>

<file path=xl/worksheets/sheet1.xml><?xml version="1.0" encoding="utf-8"?>
<x:worksheet xmlns:x="http://schemas.openxmlformats.org/spreadsheetml/2006/main">
  <x:sheetPr>
    <x:tabColor rgb="FF117C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4" customHeight="1">
      <x:c r="A1" s="3" t="str">
        <x:v>GPT-4.1｜Leave-one-type-out 实验结果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5" t="str">
        <x:v>当前保存结果 · 2026-10-03 · 两组各 101 题；本次未重新调用模型或求解器。</x:v>
      </x:c>
      <x:c r="B2" s="5"/>
      <x:c r="C2" s="5"/>
      <x:c r="D2" s="5"/>
      <x:c r="E2" s="5"/>
      <x:c r="F2" s="5"/>
      <x:c r="G2" s="5"/>
      <x:c r="H2" s="5"/>
      <x:c r="I2" s="5"/>
    </x:row>
    <x:row r="3" ht="32" customHeight="1">
      <x:c r="A3" s="5" t="str">
        <x:v>实验 1：仅删除同类 CSV 示例，保留 route。实验 2：同样删除示例，并禁用对应 route。</x:v>
      </x:c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8" t="str">
        <x:v>指标</x:v>
      </x:c>
      <x:c r="B5" s="14" t="str">
        <x:v>实验 1</x:v>
      </x:c>
      <x:c r="C5" s="14" t="str">
        <x:v>实验 2</x:v>
      </x:c>
      <x:c r="D5" s="2"/>
      <x:c r="E5" s="17" t="str">
        <x:v>解读重点</x:v>
      </x:c>
      <x:c r="F5" s="17"/>
      <x:c r="G5" s="17"/>
      <x:c r="H5" s="17"/>
      <x:c r="I5" s="17"/>
    </x:row>
    <x:row r="6" ht="23" customHeight="1">
      <x:c r="A6" s="2" t="str">
        <x:v>题数</x:v>
      </x:c>
      <x:c r="B6" s="13" t="n">
        <x:f>COUNTIFS('逐题结果'!$A$5:$A$206,1)</x:f>
        <x:v>101</x:v>
      </x:c>
      <x:c r="C6" s="13" t="n">
        <x:f>COUNTIFS('逐题结果'!$A$5:$A$206,2)</x:f>
        <x:v>101</x:v>
      </x:c>
      <x:c r="D6" s="2"/>
      <x:c r="E6" s="5" t="str">
        <x:v>实验 2 的禁用 route 使用次数为 0；预测标签与执行 route 已分别核对。</x:v>
      </x:c>
      <x:c r="F6" s="5"/>
      <x:c r="G6" s="5"/>
      <x:c r="H6" s="5"/>
      <x:c r="I6" s="5"/>
    </x:row>
    <x:row r="7" ht="23" customHeight="1">
      <x:c r="A7" s="2" t="str">
        <x:v>语义分类正确</x:v>
      </x:c>
      <x:c r="B7" s="13" t="n">
        <x:f>SUMIFS('逐题结果'!$H$5:$H$206,'逐题结果'!$A$5:$A$206,1)</x:f>
        <x:v>93</x:v>
      </x:c>
      <x:c r="C7" s="13" t="str">
        <x:v>不适用</x:v>
      </x:c>
      <x:c r="D7" s="2"/>
      <x:c r="E7" s="5"/>
      <x:c r="F7" s="5"/>
      <x:c r="G7" s="5"/>
      <x:c r="H7" s="5"/>
      <x:c r="I7" s="5"/>
    </x:row>
    <x:row r="8" ht="23" customHeight="1">
      <x:c r="A8" s="2" t="str">
        <x:v>真实 route 一致</x:v>
      </x:c>
      <x:c r="B8" s="13" t="n">
        <x:f>SUMIFS('逐题结果'!$S$5:$S$206,'逐题结果'!$A$5:$A$206,1)</x:f>
        <x:v>95</x:v>
      </x:c>
      <x:c r="C8" s="13" t="str">
        <x:v>不适用</x:v>
      </x:c>
      <x:c r="D8" s="2"/>
      <x:c r="E8" s="5" t="str">
        <x:v>Mixture 与 Others 共用 Others route。实验 2 不报告七分类准确率。</x:v>
      </x:c>
      <x:c r="F8" s="5"/>
      <x:c r="G8" s="5"/>
      <x:c r="H8" s="5"/>
      <x:c r="I8" s="5"/>
    </x:row>
    <x:row r="9" ht="23" customHeight="1">
      <x:c r="A9" s="2" t="str">
        <x:v>求解成功</x:v>
      </x:c>
      <x:c r="B9" s="13" t="n">
        <x:f>SUMIFS('逐题结果'!$I$5:$I$206,'逐题结果'!$A$5:$A$206,1)</x:f>
        <x:v>74</x:v>
      </x:c>
      <x:c r="C9" s="13" t="n">
        <x:f>SUMIFS('逐题结果'!$I$5:$I$206,'逐题结果'!$A$5:$A$206,2)</x:f>
        <x:v>88</x:v>
      </x:c>
      <x:c r="D9" s="2"/>
      <x:c r="E9" s="5"/>
      <x:c r="F9" s="5"/>
      <x:c r="G9" s="5"/>
      <x:c r="H9" s="5"/>
      <x:c r="I9" s="5"/>
    </x:row>
    <x:row r="10" ht="23" customHeight="1">
      <x:c r="A10" s="2" t="str">
        <x:v>目标值匹配</x:v>
      </x:c>
      <x:c r="B10" s="13" t="n">
        <x:f>SUMIFS('逐题结果'!$J$5:$J$206,'逐题结果'!$A$5:$A$206,1)</x:f>
        <x:v>72</x:v>
      </x:c>
      <x:c r="C10" s="13" t="n">
        <x:f>SUMIFS('逐题结果'!$J$5:$J$206,'逐题结果'!$A$5:$A$206,2)</x:f>
        <x:v>80</x:v>
      </x:c>
      <x:c r="D10" s="2"/>
      <x:c r="E10" s="5" t="str">
        <x:v>实验 2 新增匹配的 21 题均来自实验 1 执行失败，其中 19 题为 NoneType 求解接口错误。</x:v>
      </x:c>
      <x:c r="F10" s="5"/>
      <x:c r="G10" s="5"/>
      <x:c r="H10" s="5"/>
      <x:c r="I10" s="5"/>
    </x:row>
    <x:row r="11" ht="23" customHeight="1">
      <x:c r="A11" s="2" t="str">
        <x:v>执行失败</x:v>
      </x:c>
      <x:c r="B11" s="13" t="n">
        <x:f>B6-B9</x:f>
        <x:v>27</x:v>
      </x:c>
      <x:c r="C11" s="13" t="n">
        <x:f>C6-C9</x:f>
        <x:v>13</x:v>
      </x:c>
      <x:c r="D11" s="2"/>
      <x:c r="E11" s="5"/>
      <x:c r="F11" s="5"/>
      <x:c r="G11" s="5"/>
      <x:c r="H11" s="5"/>
      <x:c r="I11" s="5"/>
    </x:row>
    <x:row r="12" ht="23" customHeight="1">
      <x:c r="A12" s="2" t="str">
        <x:v>已求解但不匹配</x:v>
      </x:c>
      <x:c r="B12" s="13" t="n">
        <x:f>B9-B10</x:f>
        <x:v>2</x:v>
      </x:c>
      <x:c r="C12" s="13" t="n">
        <x:f>C9-C10</x:f>
        <x:v>8</x:v>
      </x:c>
      <x:c r="D12" s="2"/>
      <x:c r="E12" s="2"/>
      <x:c r="F12" s="2"/>
      <x:c r="G12" s="2"/>
      <x:c r="H12" s="2"/>
      <x:c r="I12" s="2"/>
    </x:row>
    <x:row r="13" ht="23" customHeight="1">
      <x:c r="A13" s="2" t="str">
        <x:v>求解成功率</x:v>
      </x:c>
      <x:c r="B13" s="15" t="n">
        <x:f>B9/B6</x:f>
        <x:v>0.7326732673267327</x:v>
      </x:c>
      <x:c r="C13" s="15" t="n">
        <x:f>C9/C6</x:f>
        <x:v>0.8712871287128713</x:v>
      </x:c>
      <x:c r="D13" s="2"/>
      <x:c r="E13" s="5" t="str">
        <x:v>总分提高不能直接归因于建模能力增强；已求解子集的匹配率下降。</x:v>
      </x:c>
      <x:c r="F13" s="5"/>
      <x:c r="G13" s="5"/>
      <x:c r="H13" s="5"/>
      <x:c r="I13" s="5"/>
    </x:row>
    <x:row r="14" ht="23" customHeight="1">
      <x:c r="A14" s="2" t="str">
        <x:v>目标匹配率 / 全部题</x:v>
      </x:c>
      <x:c r="B14" s="15" t="n">
        <x:f>B10/B6</x:f>
        <x:v>0.7128712871287128</x:v>
      </x:c>
      <x:c r="C14" s="15" t="n">
        <x:f>C10/C6</x:f>
        <x:v>0.7920792079207921</x:v>
      </x:c>
      <x:c r="D14" s="2"/>
      <x:c r="E14" s="5"/>
      <x:c r="F14" s="5"/>
      <x:c r="G14" s="5"/>
      <x:c r="H14" s="5"/>
      <x:c r="I14" s="5"/>
    </x:row>
    <x:row r="15" ht="23" customHeight="1">
      <x:c r="A15" s="2" t="str">
        <x:v>目标匹配率 / 已求解题</x:v>
      </x:c>
      <x:c r="B15" s="15" t="n">
        <x:f>B10/B9</x:f>
        <x:v>0.972972972972973</x:v>
      </x:c>
      <x:c r="C15" s="15" t="n">
        <x:f>C10/C9</x:f>
        <x:v>0.9090909090909091</x:v>
      </x:c>
      <x:c r="D15" s="2"/>
      <x:c r="E15" s="5" t="str">
        <x:v>目标匹配仅检查目标值；相对和绝对容限均为 1e-4，失败题计入总分母。</x:v>
      </x:c>
      <x:c r="F15" s="5"/>
      <x:c r="G15" s="5"/>
      <x:c r="H15" s="5"/>
      <x:c r="I15" s="5"/>
    </x:row>
    <x:row r="16" ht="23" customHeight="1">
      <x:c r="A16" s="2" t="str">
        <x:v>目标匹配率 / 七类宏平均</x:v>
      </x:c>
      <x:c r="B16" s="15" t="n">
        <x:f>AVERAGE(F21:F27)</x:f>
        <x:v>0.7888095238095237</x:v>
      </x:c>
      <x:c r="C16" s="15" t="n">
        <x:f>AVERAGE(I21:I27)</x:f>
        <x:v>0.8081240981240982</x:v>
      </x:c>
      <x:c r="D16" s="2"/>
      <x:c r="E16" s="5"/>
      <x:c r="F16" s="5"/>
      <x:c r="G16" s="5"/>
      <x:c r="H16" s="5"/>
      <x:c r="I16" s="5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8" customHeight="1">
      <x:c r="A19" s="19" t="str">
        <x:v>按真实类别汇总</x:v>
      </x:c>
      <x:c r="B19" s="19"/>
      <x:c r="C19" s="19"/>
      <x:c r="D19" s="19"/>
      <x:c r="E19" s="19"/>
      <x:c r="F19" s="19"/>
      <x:c r="G19" s="19"/>
      <x:c r="H19" s="19"/>
      <x:c r="I19" s="19"/>
    </x:row>
    <x:row r="20" ht="32" customHeight="1">
      <x:c r="A20" s="8" t="str">
        <x:v>真实类别</x:v>
      </x:c>
      <x:c r="B20" s="8" t="str">
        <x:v>题数</x:v>
      </x:c>
      <x:c r="C20" s="8" t="str">
        <x:v>实验1 分类正确</x:v>
      </x:c>
      <x:c r="D20" s="8" t="str">
        <x:v>实验1 求解</x:v>
      </x:c>
      <x:c r="E20" s="8" t="str">
        <x:v>实验1 匹配</x:v>
      </x:c>
      <x:c r="F20" s="8" t="str">
        <x:v>实验1 匹配率</x:v>
      </x:c>
      <x:c r="G20" s="8" t="str">
        <x:v>实验2 求解</x:v>
      </x:c>
      <x:c r="H20" s="8" t="str">
        <x:v>实验2 匹配</x:v>
      </x:c>
      <x:c r="I20" s="8" t="str">
        <x:v>实验2 匹配率</x:v>
      </x:c>
    </x:row>
    <x:row r="21" ht="23" customHeight="1">
      <x:c r="A21" s="2" t="str">
        <x:v>TP</x:v>
      </x:c>
      <x:c r="B21" s="2" t="n">
        <x:f>COUNTIFS('逐题结果'!$A$5:$A$206,1,'逐题结果'!$C$5:$C$206,A21)</x:f>
        <x:v>9</x:v>
      </x:c>
      <x:c r="C21" s="2" t="n">
        <x:f>SUMIFS('逐题结果'!$H$5:$H$206,'逐题结果'!$A$5:$A$206,1,'逐题结果'!$C$5:$C$206,A21)</x:f>
        <x:v>9</x:v>
      </x:c>
      <x:c r="D21" s="2" t="n">
        <x:f>SUMIFS('逐题结果'!$I$5:$I$206,'逐题结果'!$A$5:$A$206,1,'逐题结果'!$C$5:$C$206,A21)</x:f>
        <x:v>7</x:v>
      </x:c>
      <x:c r="E21" s="2" t="n">
        <x:f>SUMIFS('逐题结果'!$J$5:$J$206,'逐题结果'!$A$5:$A$206,1,'逐题结果'!$C$5:$C$206,A21)</x:f>
        <x:v>7</x:v>
      </x:c>
      <x:c r="F21" s="11" t="n">
        <x:f>E21/B21</x:f>
        <x:v>0.7777777777777778</x:v>
      </x:c>
      <x:c r="G21" s="2" t="n">
        <x:f>SUMIFS('逐题结果'!$I$5:$I$206,'逐题结果'!$A$5:$A$206,2,'逐题结果'!$C$5:$C$206,A21)</x:f>
        <x:v>6</x:v>
      </x:c>
      <x:c r="H21" s="2" t="n">
        <x:f>SUMIFS('逐题结果'!$J$5:$J$206,'逐题结果'!$A$5:$A$206,2,'逐题结果'!$C$5:$C$206,A21)</x:f>
        <x:v>6</x:v>
      </x:c>
      <x:c r="I21" s="11" t="n">
        <x:f>H21/B21</x:f>
        <x:v>0.6666666666666666</x:v>
      </x:c>
    </x:row>
    <x:row r="22" ht="23" customHeight="1">
      <x:c r="A22" s="2" t="str">
        <x:v>NRM</x:v>
      </x:c>
      <x:c r="B22" s="2" t="n">
        <x:f>COUNTIFS('逐题结果'!$A$5:$A$206,1,'逐题结果'!$C$5:$C$206,A22)</x:f>
        <x:v>25</x:v>
      </x:c>
      <x:c r="C22" s="2" t="n">
        <x:f>SUMIFS('逐题结果'!$H$5:$H$206,'逐题结果'!$A$5:$A$206,1,'逐题结果'!$C$5:$C$206,A22)</x:f>
        <x:v>25</x:v>
      </x:c>
      <x:c r="D22" s="2" t="n">
        <x:f>SUMIFS('逐题结果'!$I$5:$I$206,'逐题结果'!$A$5:$A$206,1,'逐题结果'!$C$5:$C$206,A22)</x:f>
        <x:v>12</x:v>
      </x:c>
      <x:c r="E22" s="2" t="n">
        <x:f>SUMIFS('逐题结果'!$J$5:$J$206,'逐题结果'!$A$5:$A$206,1,'逐题结果'!$C$5:$C$206,A22)</x:f>
        <x:v>12</x:v>
      </x:c>
      <x:c r="F22" s="11" t="n">
        <x:f>E22/B22</x:f>
        <x:v>0.48</x:v>
      </x:c>
      <x:c r="G22" s="2" t="n">
        <x:f>SUMIFS('逐题结果'!$I$5:$I$206,'逐题结果'!$A$5:$A$206,2,'逐题结果'!$C$5:$C$206,A22)</x:f>
        <x:v>20</x:v>
      </x:c>
      <x:c r="H22" s="2" t="n">
        <x:f>SUMIFS('逐题结果'!$J$5:$J$206,'逐题结果'!$A$5:$A$206,2,'逐题结果'!$C$5:$C$206,A22)</x:f>
        <x:v>18</x:v>
      </x:c>
      <x:c r="I22" s="11" t="n">
        <x:f>H22/B22</x:f>
        <x:v>0.72</x:v>
      </x:c>
    </x:row>
    <x:row r="23" ht="23" customHeight="1">
      <x:c r="A23" s="2" t="str">
        <x:v>RA</x:v>
      </x:c>
      <x:c r="B23" s="2" t="n">
        <x:f>COUNTIFS('逐题结果'!$A$5:$A$206,1,'逐题结果'!$C$5:$C$206,A23)</x:f>
        <x:v>22</x:v>
      </x:c>
      <x:c r="C23" s="2" t="n">
        <x:f>SUMIFS('逐题结果'!$H$5:$H$206,'逐题结果'!$A$5:$A$206,1,'逐题结果'!$C$5:$C$206,A23)</x:f>
        <x:v>22</x:v>
      </x:c>
      <x:c r="D23" s="2" t="n">
        <x:f>SUMIFS('逐题结果'!$I$5:$I$206,'逐题结果'!$A$5:$A$206,1,'逐题结果'!$C$5:$C$206,A23)</x:f>
        <x:v>11</x:v>
      </x:c>
      <x:c r="E23" s="2" t="n">
        <x:f>SUMIFS('逐题结果'!$J$5:$J$206,'逐题结果'!$A$5:$A$206,1,'逐题结果'!$C$5:$C$206,A23)</x:f>
        <x:v>11</x:v>
      </x:c>
      <x:c r="F23" s="11" t="n">
        <x:f>E23/B23</x:f>
        <x:v>0.5</x:v>
      </x:c>
      <x:c r="G23" s="2" t="n">
        <x:f>SUMIFS('逐题结果'!$I$5:$I$206,'逐题结果'!$A$5:$A$206,2,'逐题结果'!$C$5:$C$206,A23)</x:f>
        <x:v>21</x:v>
      </x:c>
      <x:c r="H23" s="2" t="n">
        <x:f>SUMIFS('逐题结果'!$J$5:$J$206,'逐题结果'!$A$5:$A$206,2,'逐题结果'!$C$5:$C$206,A23)</x:f>
        <x:v>20</x:v>
      </x:c>
      <x:c r="I23" s="11" t="n">
        <x:f>H23/B23</x:f>
        <x:v>0.9090909090909091</x:v>
      </x:c>
    </x:row>
    <x:row r="24" ht="23" customHeight="1">
      <x:c r="A24" s="2" t="str">
        <x:v>FLP</x:v>
      </x:c>
      <x:c r="B24" s="2" t="n">
        <x:f>COUNTIFS('逐题结果'!$A$5:$A$206,1,'逐题结果'!$C$5:$C$206,A24)</x:f>
        <x:v>14</x:v>
      </x:c>
      <x:c r="C24" s="2" t="n">
        <x:f>SUMIFS('逐题结果'!$H$5:$H$206,'逐题结果'!$A$5:$A$206,1,'逐题结果'!$C$5:$C$206,A24)</x:f>
        <x:v>14</x:v>
      </x:c>
      <x:c r="D24" s="2" t="n">
        <x:f>SUMIFS('逐题结果'!$I$5:$I$206,'逐题结果'!$A$5:$A$206,1,'逐题结果'!$C$5:$C$206,A24)</x:f>
        <x:v>14</x:v>
      </x:c>
      <x:c r="E24" s="2" t="n">
        <x:f>SUMIFS('逐题结果'!$J$5:$J$206,'逐题结果'!$A$5:$A$206,1,'逐题结果'!$C$5:$C$206,A24)</x:f>
        <x:v>14</x:v>
      </x:c>
      <x:c r="F24" s="11" t="n">
        <x:f>E24/B24</x:f>
        <x:v>1</x:v>
      </x:c>
      <x:c r="G24" s="2" t="n">
        <x:f>SUMIFS('逐题结果'!$I$5:$I$206,'逐题结果'!$A$5:$A$206,2,'逐题结果'!$C$5:$C$206,A24)</x:f>
        <x:v>14</x:v>
      </x:c>
      <x:c r="H24" s="2" t="n">
        <x:f>SUMIFS('逐题结果'!$J$5:$J$206,'逐题结果'!$A$5:$A$206,2,'逐题结果'!$C$5:$C$206,A24)</x:f>
        <x:v>14</x:v>
      </x:c>
      <x:c r="I24" s="11" t="n">
        <x:f>H24/B24</x:f>
        <x:v>1</x:v>
      </x:c>
    </x:row>
    <x:row r="25" ht="23" customHeight="1">
      <x:c r="A25" s="2" t="str">
        <x:v>AP</x:v>
      </x:c>
      <x:c r="B25" s="2" t="n">
        <x:f>COUNTIFS('逐题结果'!$A$5:$A$206,1,'逐题结果'!$C$5:$C$206,A25)</x:f>
        <x:v>5</x:v>
      </x:c>
      <x:c r="C25" s="2" t="n">
        <x:f>SUMIFS('逐题结果'!$H$5:$H$206,'逐题结果'!$A$5:$A$206,1,'逐题结果'!$C$5:$C$206,A25)</x:f>
        <x:v>5</x:v>
      </x:c>
      <x:c r="D25" s="2" t="n">
        <x:f>SUMIFS('逐题结果'!$I$5:$I$206,'逐题结果'!$A$5:$A$206,1,'逐题结果'!$C$5:$C$206,A25)</x:f>
        <x:v>5</x:v>
      </x:c>
      <x:c r="E25" s="2" t="n">
        <x:f>SUMIFS('逐题结果'!$J$5:$J$206,'逐题结果'!$A$5:$A$206,1,'逐题结果'!$C$5:$C$206,A25)</x:f>
        <x:v>5</x:v>
      </x:c>
      <x:c r="F25" s="11" t="n">
        <x:f>E25/B25</x:f>
        <x:v>1</x:v>
      </x:c>
      <x:c r="G25" s="2" t="n">
        <x:f>SUMIFS('逐题结果'!$I$5:$I$206,'逐题结果'!$A$5:$A$206,2,'逐题结果'!$C$5:$C$206,A25)</x:f>
        <x:v>5</x:v>
      </x:c>
      <x:c r="H25" s="2" t="n">
        <x:f>SUMIFS('逐题结果'!$J$5:$J$206,'逐题结果'!$A$5:$A$206,2,'逐题结果'!$C$5:$C$206,A25)</x:f>
        <x:v>5</x:v>
      </x:c>
      <x:c r="I25" s="11" t="n">
        <x:f>H25/B25</x:f>
        <x:v>1</x:v>
      </x:c>
    </x:row>
    <x:row r="26" ht="23" customHeight="1">
      <x:c r="A26" s="2" t="str">
        <x:v>Mixture</x:v>
      </x:c>
      <x:c r="B26" s="2" t="n">
        <x:f>COUNTIFS('逐题结果'!$A$5:$A$206,1,'逐题结果'!$C$5:$C$206,A26)</x:f>
        <x:v>18</x:v>
      </x:c>
      <x:c r="C26" s="2" t="n">
        <x:f>SUMIFS('逐题结果'!$H$5:$H$206,'逐题结果'!$A$5:$A$206,1,'逐题结果'!$C$5:$C$206,A26)</x:f>
        <x:v>11</x:v>
      </x:c>
      <x:c r="D26" s="2" t="n">
        <x:f>SUMIFS('逐题结果'!$I$5:$I$206,'逐题结果'!$A$5:$A$206,1,'逐题结果'!$C$5:$C$206,A26)</x:f>
        <x:v>17</x:v>
      </x:c>
      <x:c r="E26" s="2" t="n">
        <x:f>SUMIFS('逐题结果'!$J$5:$J$206,'逐题结果'!$A$5:$A$206,1,'逐题结果'!$C$5:$C$206,A26)</x:f>
        <x:v>16</x:v>
      </x:c>
      <x:c r="F26" s="11" t="n">
        <x:f>E26/B26</x:f>
        <x:v>0.8888888888888888</x:v>
      </x:c>
      <x:c r="G26" s="2" t="n">
        <x:f>SUMIFS('逐题结果'!$I$5:$I$206,'逐题结果'!$A$5:$A$206,2,'逐题结果'!$C$5:$C$206,A26)</x:f>
        <x:v>14</x:v>
      </x:c>
      <x:c r="H26" s="2" t="n">
        <x:f>SUMIFS('逐题结果'!$J$5:$J$206,'逐题结果'!$A$5:$A$206,2,'逐题结果'!$C$5:$C$206,A26)</x:f>
        <x:v>11</x:v>
      </x:c>
      <x:c r="I26" s="11" t="n">
        <x:f>H26/B26</x:f>
        <x:v>0.6111111111111112</x:v>
      </x:c>
    </x:row>
    <x:row r="27" ht="23" customHeight="1">
      <x:c r="A27" s="2" t="str">
        <x:v>Others</x:v>
      </x:c>
      <x:c r="B27" s="2" t="n">
        <x:f>COUNTIFS('逐题结果'!$A$5:$A$206,1,'逐题结果'!$C$5:$C$206,A27)</x:f>
        <x:v>8</x:v>
      </x:c>
      <x:c r="C27" s="2" t="n">
        <x:f>SUMIFS('逐题结果'!$H$5:$H$206,'逐题结果'!$A$5:$A$206,1,'逐题结果'!$C$5:$C$206,A27)</x:f>
        <x:v>7</x:v>
      </x:c>
      <x:c r="D27" s="2" t="n">
        <x:f>SUMIFS('逐题结果'!$I$5:$I$206,'逐题结果'!$A$5:$A$206,1,'逐题结果'!$C$5:$C$206,A27)</x:f>
        <x:v>8</x:v>
      </x:c>
      <x:c r="E27" s="2" t="n">
        <x:f>SUMIFS('逐题结果'!$J$5:$J$206,'逐题结果'!$A$5:$A$206,1,'逐题结果'!$C$5:$C$206,A27)</x:f>
        <x:v>7</x:v>
      </x:c>
      <x:c r="F27" s="11" t="n">
        <x:f>E27/B27</x:f>
        <x:v>0.875</x:v>
      </x:c>
      <x:c r="G27" s="2" t="n">
        <x:f>SUMIFS('逐题结果'!$I$5:$I$206,'逐题结果'!$A$5:$A$206,2,'逐题结果'!$C$5:$C$206,A27)</x:f>
        <x:v>8</x:v>
      </x:c>
      <x:c r="H27" s="2" t="n">
        <x:f>SUMIFS('逐题结果'!$J$5:$J$206,'逐题结果'!$A$5:$A$206,2,'逐题结果'!$C$5:$C$206,A27)</x:f>
        <x:v>6</x:v>
      </x:c>
      <x:c r="I27" s="11" t="n">
        <x:f>H27/B27</x:f>
        <x:v>0.75</x:v>
      </x:c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19" t="str">
        <x:v>按选择 route 聚合（包含后续执行失败的题目）</x:v>
      </x:c>
      <x:c r="B30" s="19"/>
      <x:c r="C30" s="19"/>
      <x:c r="D30" s="19"/>
      <x:c r="E30" s="19"/>
      <x:c r="F30" s="19"/>
      <x:c r="G30" s="19"/>
      <x:c r="H30" s="19"/>
      <x:c r="I30" s="19"/>
    </x:row>
    <x:row r="31" ht="32" customHeight="1">
      <x:c r="A31" s="8" t="str">
        <x:v>选择 route</x:v>
      </x:c>
      <x:c r="B31" s="8" t="str">
        <x:v>实验1 题数</x:v>
      </x:c>
      <x:c r="C31" s="8" t="str">
        <x:v>实验1 求解</x:v>
      </x:c>
      <x:c r="D31" s="8" t="str">
        <x:v>实验1 匹配</x:v>
      </x:c>
      <x:c r="E31" s="8" t="str">
        <x:v>实验2 题数</x:v>
      </x:c>
      <x:c r="F31" s="8" t="str">
        <x:v>实验2 求解</x:v>
      </x:c>
      <x:c r="G31" s="8" t="str">
        <x:v>实验2 匹配</x:v>
      </x:c>
      <x:c r="H31" s="2"/>
      <x:c r="I31" s="2"/>
    </x:row>
    <x:row r="32" ht="23" customHeight="1">
      <x:c r="A32" s="2" t="str">
        <x:v>TP</x:v>
      </x:c>
      <x:c r="B32" s="2" t="n">
        <x:f>COUNTIFS('逐题结果'!$A$5:$A$206,1,'逐题结果'!$E$5:$E$206,A32)</x:f>
        <x:v>9</x:v>
      </x:c>
      <x:c r="C32" s="2" t="n">
        <x:f>SUMIFS('逐题结果'!$I$5:$I$206,'逐题结果'!$A$5:$A$206,1,'逐题结果'!$E$5:$E$206,A32)</x:f>
        <x:v>7</x:v>
      </x:c>
      <x:c r="D32" s="2" t="n">
        <x:f>SUMIFS('逐题结果'!$J$5:$J$206,'逐题结果'!$A$5:$A$206,1,'逐题结果'!$E$5:$E$206,A32)</x:f>
        <x:v>7</x:v>
      </x:c>
      <x:c r="E32" s="2" t="n">
        <x:f>COUNTIFS('逐题结果'!$A$5:$A$206,2,'逐题结果'!$E$5:$E$206,A32)</x:f>
        <x:v>4</x:v>
      </x:c>
      <x:c r="F32" s="2" t="n">
        <x:f>SUMIFS('逐题结果'!$I$5:$I$206,'逐题结果'!$A$5:$A$206,2,'逐题结果'!$E$5:$E$206,A32)</x:f>
        <x:v>3</x:v>
      </x:c>
      <x:c r="G32" s="2" t="n">
        <x:f>SUMIFS('逐题结果'!$J$5:$J$206,'逐题结果'!$A$5:$A$206,2,'逐题结果'!$E$5:$E$206,A32)</x:f>
        <x:v>2</x:v>
      </x:c>
      <x:c r="H32" s="2"/>
      <x:c r="I32" s="2"/>
    </x:row>
    <x:row r="33" ht="23" customHeight="1">
      <x:c r="A33" s="2" t="str">
        <x:v>NRM</x:v>
      </x:c>
      <x:c r="B33" s="2" t="n">
        <x:f>COUNTIFS('逐题结果'!$A$5:$A$206,1,'逐题结果'!$E$5:$E$206,A33)</x:f>
        <x:v>25</x:v>
      </x:c>
      <x:c r="C33" s="2" t="n">
        <x:f>SUMIFS('逐题结果'!$I$5:$I$206,'逐题结果'!$A$5:$A$206,1,'逐题结果'!$E$5:$E$206,A33)</x:f>
        <x:v>12</x:v>
      </x:c>
      <x:c r="D33" s="2" t="n">
        <x:f>SUMIFS('逐题结果'!$J$5:$J$206,'逐题结果'!$A$5:$A$206,1,'逐题结果'!$E$5:$E$206,A33)</x:f>
        <x:v>12</x:v>
      </x:c>
      <x:c r="E33" s="2" t="n">
        <x:f>COUNTIFS('逐题结果'!$A$5:$A$206,2,'逐题结果'!$E$5:$E$206,A33)</x:f>
        <x:v>0</x:v>
      </x:c>
      <x:c r="F33" s="2" t="n">
        <x:f>SUMIFS('逐题结果'!$I$5:$I$206,'逐题结果'!$A$5:$A$206,2,'逐题结果'!$E$5:$E$206,A33)</x:f>
        <x:v>0</x:v>
      </x:c>
      <x:c r="G33" s="2" t="n">
        <x:f>SUMIFS('逐题结果'!$J$5:$J$206,'逐题结果'!$A$5:$A$206,2,'逐题结果'!$E$5:$E$206,A33)</x:f>
        <x:v>0</x:v>
      </x:c>
      <x:c r="H33" s="2"/>
      <x:c r="I33" s="2"/>
    </x:row>
    <x:row r="34" ht="23" customHeight="1">
      <x:c r="A34" s="2" t="str">
        <x:v>RA</x:v>
      </x:c>
      <x:c r="B34" s="2" t="n">
        <x:f>COUNTIFS('逐题结果'!$A$5:$A$206,1,'逐题结果'!$E$5:$E$206,A34)</x:f>
        <x:v>28</x:v>
      </x:c>
      <x:c r="C34" s="2" t="n">
        <x:f>SUMIFS('逐题结果'!$I$5:$I$206,'逐题结果'!$A$5:$A$206,1,'逐题结果'!$E$5:$E$206,A34)</x:f>
        <x:v>16</x:v>
      </x:c>
      <x:c r="D34" s="2" t="n">
        <x:f>SUMIFS('逐题结果'!$J$5:$J$206,'逐题结果'!$A$5:$A$206,1,'逐题结果'!$E$5:$E$206,A34)</x:f>
        <x:v>15</x:v>
      </x:c>
      <x:c r="E34" s="2" t="n">
        <x:f>COUNTIFS('逐题结果'!$A$5:$A$206,2,'逐题结果'!$E$5:$E$206,A34)</x:f>
        <x:v>46</x:v>
      </x:c>
      <x:c r="F34" s="2" t="n">
        <x:f>SUMIFS('逐题结果'!$I$5:$I$206,'逐题结果'!$A$5:$A$206,2,'逐题结果'!$E$5:$E$206,A34)</x:f>
        <x:v>36</x:v>
      </x:c>
      <x:c r="G34" s="2" t="n">
        <x:f>SUMIFS('逐题结果'!$J$5:$J$206,'逐题结果'!$A$5:$A$206,2,'逐题结果'!$E$5:$E$206,A34)</x:f>
        <x:v>32</x:v>
      </x:c>
      <x:c r="H34" s="2"/>
      <x:c r="I34" s="2"/>
    </x:row>
    <x:row r="35" ht="23" customHeight="1">
      <x:c r="A35" s="2" t="str">
        <x:v>FLP</x:v>
      </x:c>
      <x:c r="B35" s="2" t="n">
        <x:f>COUNTIFS('逐题结果'!$A$5:$A$206,1,'逐题结果'!$E$5:$E$206,A35)</x:f>
        <x:v>14</x:v>
      </x:c>
      <x:c r="C35" s="2" t="n">
        <x:f>SUMIFS('逐题结果'!$I$5:$I$206,'逐题结果'!$A$5:$A$206,1,'逐题结果'!$E$5:$E$206,A35)</x:f>
        <x:v>14</x:v>
      </x:c>
      <x:c r="D35" s="2" t="n">
        <x:f>SUMIFS('逐题结果'!$J$5:$J$206,'逐题结果'!$A$5:$A$206,1,'逐题结果'!$E$5:$E$206,A35)</x:f>
        <x:v>14</x:v>
      </x:c>
      <x:c r="E35" s="2" t="n">
        <x:f>COUNTIFS('逐题结果'!$A$5:$A$206,2,'逐题结果'!$E$5:$E$206,A35)</x:f>
        <x:v>0</x:v>
      </x:c>
      <x:c r="F35" s="2" t="n">
        <x:f>SUMIFS('逐题结果'!$I$5:$I$206,'逐题结果'!$A$5:$A$206,2,'逐题结果'!$E$5:$E$206,A35)</x:f>
        <x:v>0</x:v>
      </x:c>
      <x:c r="G35" s="2" t="n">
        <x:f>SUMIFS('逐题结果'!$J$5:$J$206,'逐题结果'!$A$5:$A$206,2,'逐题结果'!$E$5:$E$206,A35)</x:f>
        <x:v>0</x:v>
      </x:c>
      <x:c r="H35" s="2"/>
      <x:c r="I35" s="2"/>
    </x:row>
    <x:row r="36" ht="23" customHeight="1">
      <x:c r="A36" s="2" t="str">
        <x:v>AP</x:v>
      </x:c>
      <x:c r="B36" s="2" t="n">
        <x:f>COUNTIFS('逐题结果'!$A$5:$A$206,1,'逐题结果'!$E$5:$E$206,A36)</x:f>
        <x:v>5</x:v>
      </x:c>
      <x:c r="C36" s="2" t="n">
        <x:f>SUMIFS('逐题结果'!$I$5:$I$206,'逐题结果'!$A$5:$A$206,1,'逐题结果'!$E$5:$E$206,A36)</x:f>
        <x:v>5</x:v>
      </x:c>
      <x:c r="D36" s="2" t="n">
        <x:f>SUMIFS('逐题结果'!$J$5:$J$206,'逐题结果'!$A$5:$A$206,1,'逐题结果'!$E$5:$E$206,A36)</x:f>
        <x:v>5</x:v>
      </x:c>
      <x:c r="E36" s="2" t="n">
        <x:f>COUNTIFS('逐题结果'!$A$5:$A$206,2,'逐题结果'!$E$5:$E$206,A36)</x:f>
        <x:v>4</x:v>
      </x:c>
      <x:c r="F36" s="2" t="n">
        <x:f>SUMIFS('逐题结果'!$I$5:$I$206,'逐题结果'!$A$5:$A$206,2,'逐题结果'!$E$5:$E$206,A36)</x:f>
        <x:v>4</x:v>
      </x:c>
      <x:c r="G36" s="2" t="n">
        <x:f>SUMIFS('逐题结果'!$J$5:$J$206,'逐题结果'!$A$5:$A$206,2,'逐题结果'!$E$5:$E$206,A36)</x:f>
        <x:v>2</x:v>
      </x:c>
      <x:c r="H36" s="2"/>
      <x:c r="I36" s="2"/>
    </x:row>
    <x:row r="37" ht="23" customHeight="1">
      <x:c r="A37" s="2" t="str">
        <x:v>Others</x:v>
      </x:c>
      <x:c r="B37" s="2" t="n">
        <x:f>COUNTIFS('逐题结果'!$A$5:$A$206,1,'逐题结果'!$E$5:$E$206,A37)</x:f>
        <x:v>20</x:v>
      </x:c>
      <x:c r="C37" s="2" t="n">
        <x:f>SUMIFS('逐题结果'!$I$5:$I$206,'逐题结果'!$A$5:$A$206,1,'逐题结果'!$E$5:$E$206,A37)</x:f>
        <x:v>20</x:v>
      </x:c>
      <x:c r="D37" s="2" t="n">
        <x:f>SUMIFS('逐题结果'!$J$5:$J$206,'逐题结果'!$A$5:$A$206,1,'逐题结果'!$E$5:$E$206,A37)</x:f>
        <x:v>19</x:v>
      </x:c>
      <x:c r="E37" s="2" t="n">
        <x:f>COUNTIFS('逐题结果'!$A$5:$A$206,2,'逐题结果'!$E$5:$E$206,A37)</x:f>
        <x:v>47</x:v>
      </x:c>
      <x:c r="F37" s="2" t="n">
        <x:f>SUMIFS('逐题结果'!$I$5:$I$206,'逐题结果'!$A$5:$A$206,2,'逐题结果'!$E$5:$E$206,A37)</x:f>
        <x:v>45</x:v>
      </x:c>
      <x:c r="G37" s="2" t="n">
        <x:f>SUMIFS('逐题结果'!$J$5:$J$206,'逐题结果'!$A$5:$A$206,2,'逐题结果'!$E$5:$E$206,A37)</x:f>
        <x:v>44</x:v>
      </x:c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19" t="str">
        <x:v>配对变化与失败分布</x:v>
      </x:c>
      <x:c r="B40" s="19"/>
      <x:c r="C40" s="19"/>
      <x:c r="D40" s="19"/>
      <x:c r="E40" s="19"/>
      <x:c r="F40" s="19"/>
      <x:c r="G40" s="19"/>
      <x:c r="H40" s="19"/>
      <x:c r="I40" s="19"/>
    </x:row>
    <x:row r="41" ht="32" customHeight="1">
      <x:c r="A41" s="8" t="str">
        <x:v>匹配变化</x:v>
      </x:c>
      <x:c r="B41" s="8" t="str">
        <x:v>题数</x:v>
      </x:c>
      <x:c r="C41" s="2"/>
      <x:c r="D41" s="2"/>
      <x:c r="E41" s="2"/>
      <x:c r="F41" s="2"/>
      <x:c r="G41" s="2"/>
      <x:c r="H41" s="2"/>
      <x:c r="I41" s="2"/>
    </x:row>
    <x:row r="42" ht="23" customHeight="1">
      <x:c r="A42" s="2" t="str">
        <x:v>两组均匹配</x:v>
      </x:c>
      <x:c r="B42" s="2" t="n">
        <x:f>COUNTIFS('逐题对比'!$N$5:$N$105,A42)</x:f>
        <x:v>59</x:v>
      </x:c>
      <x:c r="C42" s="2"/>
      <x:c r="D42" s="2"/>
      <x:c r="E42" s="2"/>
      <x:c r="F42" s="2"/>
      <x:c r="G42" s="2"/>
      <x:c r="H42" s="2"/>
      <x:c r="I42" s="2"/>
    </x:row>
    <x:row r="43" ht="23" customHeight="1">
      <x:c r="A43" s="2" t="str">
        <x:v>实验2新增匹配</x:v>
      </x:c>
      <x:c r="B43" s="2" t="n">
        <x:f>COUNTIFS('逐题对比'!$N$5:$N$105,A43)</x:f>
        <x:v>21</x:v>
      </x:c>
      <x:c r="C43" s="2"/>
      <x:c r="D43" s="2"/>
      <x:c r="E43" s="2"/>
      <x:c r="F43" s="2"/>
      <x:c r="G43" s="2"/>
      <x:c r="H43" s="2"/>
      <x:c r="I43" s="2"/>
    </x:row>
    <x:row r="44" ht="23" customHeight="1">
      <x:c r="A44" s="2" t="str">
        <x:v>实验2丢失匹配</x:v>
      </x:c>
      <x:c r="B44" s="2" t="n">
        <x:f>COUNTIFS('逐题对比'!$N$5:$N$105,A44)</x:f>
        <x:v>13</x:v>
      </x:c>
      <x:c r="C44" s="2"/>
      <x:c r="D44" s="2"/>
      <x:c r="E44" s="2"/>
      <x:c r="F44" s="2"/>
      <x:c r="G44" s="2"/>
      <x:c r="H44" s="2"/>
      <x:c r="I44" s="2"/>
    </x:row>
    <x:row r="45" ht="23" customHeight="1">
      <x:c r="A45" s="2" t="str">
        <x:v>两组均不匹配</x:v>
      </x:c>
      <x:c r="B45" s="2" t="n">
        <x:f>COUNTIFS('逐题对比'!$N$5:$N$105,A45)</x:f>
        <x:v>8</x:v>
      </x:c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32" customHeight="1">
      <x:c r="A48" s="8" t="str">
        <x:v>实验</x:v>
      </x:c>
      <x:c r="B48" s="8" t="str">
        <x:v>失败阶段</x:v>
      </x:c>
      <x:c r="C48" s="8" t="str">
        <x:v>错误类型</x:v>
      </x:c>
      <x:c r="D48" s="8" t="str">
        <x:v>题数</x:v>
      </x:c>
      <x:c r="E48" s="2"/>
      <x:c r="F48" s="2"/>
      <x:c r="G48" s="2"/>
      <x:c r="H48" s="2"/>
      <x:c r="I48" s="2"/>
    </x:row>
    <x:row r="49" ht="32" customHeight="1">
      <x:c r="A49" s="13" t="n">
        <x:v>1</x:v>
      </x:c>
      <x:c r="B49" s="2" t="str">
        <x:v>code_generation</x:v>
      </x:c>
      <x:c r="C49" s="20" t="str">
        <x:v>ValueError</x:v>
      </x:c>
      <x:c r="D49" s="2" t="n">
        <x:f>COUNTIFS('逐题结果'!$A$5:$A$206,A49,'逐题结果'!$P$5:$P$206,B49,'逐题结果'!$Q$5:$Q$206,C49,'逐题结果'!$I$5:$I$206,0)</x:f>
        <x:v>1</x:v>
      </x:c>
      <x:c r="E49" s="2"/>
      <x:c r="F49" s="2"/>
      <x:c r="G49" s="2"/>
      <x:c r="H49" s="2"/>
      <x:c r="I49" s="2"/>
    </x:row>
    <x:row r="50" ht="32" customHeight="1">
      <x:c r="A50" s="13" t="n">
        <x:v>1</x:v>
      </x:c>
      <x:c r="B50" s="2" t="str">
        <x:v>formulation</x:v>
      </x:c>
      <x:c r="C50" s="20" t="str">
        <x:v>APITimeoutError</x:v>
      </x:c>
      <x:c r="D50" s="2" t="n">
        <x:f>COUNTIFS('逐题结果'!$A$5:$A$206,A50,'逐题结果'!$P$5:$P$206,B50,'逐题结果'!$Q$5:$Q$206,C50,'逐题结果'!$I$5:$I$206,0)</x:f>
        <x:v>1</x:v>
      </x:c>
      <x:c r="E50" s="2"/>
      <x:c r="F50" s="2"/>
      <x:c r="G50" s="2"/>
      <x:c r="H50" s="2"/>
      <x:c r="I50" s="2"/>
    </x:row>
    <x:row r="51" ht="32" customHeight="1">
      <x:c r="A51" s="13" t="n">
        <x:v>1</x:v>
      </x:c>
      <x:c r="B51" s="2" t="str">
        <x:v>formulation</x:v>
      </x:c>
      <x:c r="C51" s="20" t="str">
        <x:v>ModelOutputTruncated</x:v>
      </x:c>
      <x:c r="D51" s="2" t="n">
        <x:f>COUNTIFS('逐题结果'!$A$5:$A$206,A51,'逐题结果'!$P$5:$P$206,B51,'逐题结果'!$Q$5:$Q$206,C51,'逐题结果'!$I$5:$I$206,0)</x:f>
        <x:v>5</x:v>
      </x:c>
      <x:c r="E51" s="2"/>
      <x:c r="F51" s="2"/>
      <x:c r="G51" s="2"/>
      <x:c r="H51" s="2"/>
      <x:c r="I51" s="2"/>
    </x:row>
    <x:row r="52" ht="32" customHeight="1">
      <x:c r="A52" s="13" t="n">
        <x:v>1</x:v>
      </x:c>
      <x:c r="B52" s="2" t="str">
        <x:v>solve</x:v>
      </x:c>
      <x:c r="C52" s="20" t="str">
        <x:v>KeyError</x:v>
      </x:c>
      <x:c r="D52" s="2" t="n">
        <x:f>COUNTIFS('逐题结果'!$A$5:$A$206,A52,'逐题结果'!$P$5:$P$206,B52,'逐题结果'!$Q$5:$Q$206,C52,'逐题结果'!$I$5:$I$206,0)</x:f>
        <x:v>1</x:v>
      </x:c>
      <x:c r="E52" s="2"/>
      <x:c r="F52" s="2"/>
      <x:c r="G52" s="2"/>
      <x:c r="H52" s="2"/>
      <x:c r="I52" s="2"/>
    </x:row>
    <x:row r="53" ht="32" customHeight="1">
      <x:c r="A53" s="13" t="n">
        <x:v>1</x:v>
      </x:c>
      <x:c r="B53" s="2" t="str">
        <x:v>solve</x:v>
      </x:c>
      <x:c r="C53" s="20" t="str">
        <x:v>TypeError</x:v>
      </x:c>
      <x:c r="D53" s="2" t="n">
        <x:f>COUNTIFS('逐题结果'!$A$5:$A$206,A53,'逐题结果'!$P$5:$P$206,B53,'逐题结果'!$Q$5:$Q$206,C53,'逐题结果'!$I$5:$I$206,0)</x:f>
        <x:v>19</x:v>
      </x:c>
      <x:c r="E53" s="2"/>
      <x:c r="F53" s="2"/>
      <x:c r="G53" s="2"/>
      <x:c r="H53" s="2"/>
      <x:c r="I53" s="2"/>
    </x:row>
    <x:row r="54" ht="32" customHeight="1">
      <x:c r="A54" s="13" t="n">
        <x:v>2</x:v>
      </x:c>
      <x:c r="B54" s="2" t="str">
        <x:v>code_generation</x:v>
      </x:c>
      <x:c r="C54" s="20" t="str">
        <x:v>ValueError</x:v>
      </x:c>
      <x:c r="D54" s="2" t="n">
        <x:f>COUNTIFS('逐题结果'!$A$5:$A$206,A54,'逐题结果'!$P$5:$P$206,B54,'逐题结果'!$Q$5:$Q$206,C54,'逐题结果'!$I$5:$I$206,0)</x:f>
        <x:v>9</x:v>
      </x:c>
      <x:c r="E54" s="2"/>
      <x:c r="F54" s="2"/>
      <x:c r="G54" s="2"/>
      <x:c r="H54" s="2"/>
      <x:c r="I54" s="2"/>
    </x:row>
    <x:row r="55" ht="32" customHeight="1">
      <x:c r="A55" s="13" t="n">
        <x:v>2</x:v>
      </x:c>
      <x:c r="B55" s="2" t="str">
        <x:v>formulation</x:v>
      </x:c>
      <x:c r="C55" s="20" t="str">
        <x:v>BadRequestError</x:v>
      </x:c>
      <x:c r="D55" s="2" t="n">
        <x:f>COUNTIFS('逐题结果'!$A$5:$A$206,A55,'逐题结果'!$P$5:$P$206,B55,'逐题结果'!$Q$5:$Q$206,C55,'逐题结果'!$I$5:$I$206,0)</x:f>
        <x:v>1</x:v>
      </x:c>
      <x:c r="E55" s="2"/>
      <x:c r="F55" s="2"/>
      <x:c r="G55" s="2"/>
      <x:c r="H55" s="2"/>
      <x:c r="I55" s="2"/>
    </x:row>
    <x:row r="56" ht="32" customHeight="1">
      <x:c r="A56" s="13" t="n">
        <x:v>2</x:v>
      </x:c>
      <x:c r="B56" s="2" t="str">
        <x:v>solve</x:v>
      </x:c>
      <x:c r="C56" s="20" t="str">
        <x:v>ValueError</x:v>
      </x:c>
      <x:c r="D56" s="2" t="n">
        <x:f>COUNTIFS('逐题结果'!$A$5:$A$206,A56,'逐题结果'!$P$5:$P$206,B56,'逐题结果'!$Q$5:$Q$206,C56,'逐题结果'!$I$5:$I$206,0)</x:f>
        <x:v>3</x:v>
      </x:c>
      <x:c r="E56" s="2"/>
      <x:c r="F56" s="2"/>
      <x:c r="G56" s="2"/>
      <x:c r="H56" s="2"/>
      <x:c r="I56" s="2"/>
    </x:row>
    <x:row r="57" ht="32" customHeight="1">
      <x:c r="A57" s="2"/>
      <x:c r="B57" s="2"/>
      <x:c r="C57" s="20"/>
      <x:c r="D57" s="2"/>
      <x:c r="E57" s="2"/>
      <x:c r="F57" s="2"/>
      <x:c r="G57" s="2"/>
      <x:c r="H57" s="2"/>
      <x:c r="I57" s="2"/>
    </x:row>
    <x:row r="58" ht="32" customHeight="1">
      <x:c r="A58" s="2"/>
      <x:c r="B58" s="2"/>
      <x:c r="C58" s="20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38" customHeight="1">
      <x:c r="A61" s="5" t="str">
        <x:v>协议核对：四份 notebook 的共用 LOTO 控制/运行单元逐字相同；七折、示例过滤、动态候选、禁用守卫、评价与续跑规则一致。</x:v>
      </x:c>
      <x:c r="B61" s="5"/>
      <x:c r="C61" s="5"/>
      <x:c r="D61" s="5"/>
      <x:c r="E61" s="5"/>
      <x:c r="F61" s="5"/>
      <x:c r="G61" s="5"/>
      <x:c r="H61" s="5"/>
      <x:c r="I61" s="5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38" customHeight="1">
      <x:c r="A63" s="5" t="str">
        <x:v>保留模型自身基线差异：GPT-4.1 仅 NRM 用 planned CSVQA；oss20b 的五个专用 route 用 planned。模型与上下文/求解配置也不同。</x:v>
      </x:c>
      <x:c r="B63" s="5"/>
      <x:c r="C63" s="5"/>
      <x:c r="D63" s="5"/>
      <x:c r="E63" s="5"/>
      <x:c r="F63" s="5"/>
      <x:c r="G63" s="5"/>
      <x:c r="H63" s="5"/>
      <x:c r="I63" s="5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38" customHeight="1">
      <x:c r="A65" s="5" t="str">
        <x:v>本次未启动 oss20b 推理。实验2仅用提示限定候选，dispatch 守卫防止禁用 route 执行；没有自动转入 General。</x:v>
      </x:c>
      <x:c r="B65" s="5"/>
      <x:c r="C65" s="5"/>
      <x:c r="D65" s="5"/>
      <x:c r="E65" s="5"/>
      <x:c r="F65" s="5"/>
      <x:c r="G65" s="5"/>
      <x:c r="H65" s="5"/>
      <x:c r="I65" s="5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38" customHeight="1">
      <x:c r="A67" s="5" t="str">
        <x:v>本实验仅删除参考 CSV 同类示例，保留库外示例及类别定义。按真值分折构造禁用集合，候选集合间接含排除信息。</x:v>
      </x:c>
      <x:c r="B67" s="5"/>
      <x:c r="C67" s="5"/>
      <x:c r="D67" s="5"/>
      <x:c r="E67" s="5"/>
      <x:c r="F67" s="5"/>
      <x:c r="G67" s="5"/>
      <x:c r="H67" s="5"/>
      <x:c r="I67" s="5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38" customHeight="1">
      <x:c r="A69" s="5" t="str">
        <x:v>详细口径、异常题号和限制见 GPT41_LOTO_report.md；输入哈希见 provenance.json。数据表标记列中 1＝是，0＝否，空白＝不适用。</x:v>
      </x:c>
      <x:c r="B69" s="5"/>
      <x:c r="C69" s="5"/>
      <x:c r="D69" s="5"/>
      <x:c r="E69" s="5"/>
      <x:c r="F69" s="5"/>
      <x:c r="G69" s="5"/>
      <x:c r="H69" s="5"/>
      <x:c r="I69" s="5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</x:row>
  </x:sheetData>
  <x:mergeCells>
    <x:mergeCell ref="A1:I1"/>
    <x:mergeCell ref="A2:I2"/>
    <x:mergeCell ref="A3:I3"/>
    <x:mergeCell ref="E5:I5"/>
    <x:mergeCell ref="E6:I7"/>
    <x:mergeCell ref="E8:I9"/>
    <x:mergeCell ref="E10:I11"/>
    <x:mergeCell ref="E13:I14"/>
    <x:mergeCell ref="E15:I16"/>
    <x:mergeCell ref="A19:I19"/>
    <x:mergeCell ref="A30:I30"/>
    <x:mergeCell ref="A40:I40"/>
    <x:mergeCell ref="A61:I61"/>
    <x:mergeCell ref="A63:I63"/>
    <x:mergeCell ref="A65:I65"/>
    <x:mergeCell ref="A67:I67"/>
    <x:mergeCell ref="A69:I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17C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3" t="str">
        <x:v>分类标签 → 执行 route｜分组结果</x:v>
      </x:c>
      <x:c r="B1" s="3"/>
      <x:c r="C1" s="3"/>
      <x:c r="D1" s="3"/>
      <x:c r="E1" s="3"/>
      <x:c r="F1" s="3"/>
      <x:c r="G1" s="3"/>
    </x:row>
    <x:row r="2" ht="32" customHeight="1">
      <x:c r="A2" s="5" t="str">
        <x:v>Mixture 和 Others 为不同语义类别，但共同执行 Others route。数字均可回溯到逐题结果。</x:v>
      </x:c>
      <x:c r="B2" s="5"/>
      <x:c r="C2" s="5"/>
      <x:c r="D2" s="5"/>
      <x:c r="E2" s="5"/>
      <x:c r="F2" s="5"/>
      <x:c r="G2" s="5"/>
    </x:row>
    <x:row r="3" ht="32" customHeight="1">
      <x:c r="A3" s="5" t="str">
        <x:v>本表为当前保存结果中出现的分类/路由组合；完整题号列表见 classification_routes.csv。</x:v>
      </x:c>
      <x:c r="B3" s="5"/>
      <x:c r="C3" s="5"/>
      <x:c r="D3" s="5"/>
      <x:c r="E3" s="5"/>
      <x:c r="F3" s="5"/>
      <x:c r="G3" s="5"/>
    </x:row>
    <x:row r="4" ht="32" customHeight="1">
      <x:c r="A4" s="8" t="str">
        <x:v>实验</x:v>
      </x:c>
      <x:c r="B4" s="8" t="str">
        <x:v>真实类别</x:v>
      </x:c>
      <x:c r="C4" s="8" t="str">
        <x:v>预测标签</x:v>
      </x:c>
      <x:c r="D4" s="8" t="str">
        <x:v>选择 route</x:v>
      </x:c>
      <x:c r="E4" s="8" t="str">
        <x:v>题数</x:v>
      </x:c>
      <x:c r="F4" s="8" t="str">
        <x:v>求解成功</x:v>
      </x:c>
      <x:c r="G4" s="8" t="str">
        <x:v>目标匹配</x:v>
      </x:c>
    </x:row>
    <x:row r="5" ht="23" customHeight="1">
      <x:c r="A5" s="13" t="n">
        <x:v>1</x:v>
      </x:c>
      <x:c r="B5" s="13" t="str">
        <x:v>TP</x:v>
      </x:c>
      <x:c r="C5" s="13" t="str">
        <x:v>TP</x:v>
      </x:c>
      <x:c r="D5" s="13" t="str">
        <x:v>TP</x:v>
      </x:c>
      <x:c r="E5" s="13" t="n">
        <x:f>COUNTIFS('逐题结果'!$A$5:$A$206,A5,'逐题结果'!$C$5:$C$206,B5,'逐题结果'!$D$5:$D$206,C5,'逐题结果'!$E$5:$E$206,D5)</x:f>
        <x:v>9</x:v>
      </x:c>
      <x:c r="F5" s="13" t="n">
        <x:f>SUMIFS('逐题结果'!$I$5:$I$206,'逐题结果'!$A$5:$A$206,A5,'逐题结果'!$C$5:$C$206,B5,'逐题结果'!$D$5:$D$206,C5,'逐题结果'!$E$5:$E$206,D5)</x:f>
        <x:v>7</x:v>
      </x:c>
      <x:c r="G5" s="13" t="n">
        <x:f>SUMIFS('逐题结果'!$J$5:$J$206,'逐题结果'!$A$5:$A$206,A5,'逐题结果'!$C$5:$C$206,B5,'逐题结果'!$D$5:$D$206,C5,'逐题结果'!$E$5:$E$206,D5)</x:f>
        <x:v>7</x:v>
      </x:c>
    </x:row>
    <x:row r="6" ht="23" customHeight="1">
      <x:c r="A6" s="13" t="n">
        <x:v>1</x:v>
      </x:c>
      <x:c r="B6" s="13" t="str">
        <x:v>NRM</x:v>
      </x:c>
      <x:c r="C6" s="13" t="str">
        <x:v>NRM</x:v>
      </x:c>
      <x:c r="D6" s="13" t="str">
        <x:v>NRM</x:v>
      </x:c>
      <x:c r="E6" s="13" t="n">
        <x:f>COUNTIFS('逐题结果'!$A$5:$A$206,A6,'逐题结果'!$C$5:$C$206,B6,'逐题结果'!$D$5:$D$206,C6,'逐题结果'!$E$5:$E$206,D6)</x:f>
        <x:v>25</x:v>
      </x:c>
      <x:c r="F6" s="13" t="n">
        <x:f>SUMIFS('逐题结果'!$I$5:$I$206,'逐题结果'!$A$5:$A$206,A6,'逐题结果'!$C$5:$C$206,B6,'逐题结果'!$D$5:$D$206,C6,'逐题结果'!$E$5:$E$206,D6)</x:f>
        <x:v>12</x:v>
      </x:c>
      <x:c r="G6" s="13" t="n">
        <x:f>SUMIFS('逐题结果'!$J$5:$J$206,'逐题结果'!$A$5:$A$206,A6,'逐题结果'!$C$5:$C$206,B6,'逐题结果'!$D$5:$D$206,C6,'逐题结果'!$E$5:$E$206,D6)</x:f>
        <x:v>12</x:v>
      </x:c>
    </x:row>
    <x:row r="7" ht="23" customHeight="1">
      <x:c r="A7" s="13" t="n">
        <x:v>1</x:v>
      </x:c>
      <x:c r="B7" s="13" t="str">
        <x:v>RA</x:v>
      </x:c>
      <x:c r="C7" s="13" t="str">
        <x:v>RA</x:v>
      </x:c>
      <x:c r="D7" s="13" t="str">
        <x:v>RA</x:v>
      </x:c>
      <x:c r="E7" s="13" t="n">
        <x:f>COUNTIFS('逐题结果'!$A$5:$A$206,A7,'逐题结果'!$C$5:$C$206,B7,'逐题结果'!$D$5:$D$206,C7,'逐题结果'!$E$5:$E$206,D7)</x:f>
        <x:v>22</x:v>
      </x:c>
      <x:c r="F7" s="13" t="n">
        <x:f>SUMIFS('逐题结果'!$I$5:$I$206,'逐题结果'!$A$5:$A$206,A7,'逐题结果'!$C$5:$C$206,B7,'逐题结果'!$D$5:$D$206,C7,'逐题结果'!$E$5:$E$206,D7)</x:f>
        <x:v>11</x:v>
      </x:c>
      <x:c r="G7" s="13" t="n">
        <x:f>SUMIFS('逐题结果'!$J$5:$J$206,'逐题结果'!$A$5:$A$206,A7,'逐题结果'!$C$5:$C$206,B7,'逐题结果'!$D$5:$D$206,C7,'逐题结果'!$E$5:$E$206,D7)</x:f>
        <x:v>11</x:v>
      </x:c>
    </x:row>
    <x:row r="8" ht="23" customHeight="1">
      <x:c r="A8" s="13" t="n">
        <x:v>1</x:v>
      </x:c>
      <x:c r="B8" s="13" t="str">
        <x:v>FLP</x:v>
      </x:c>
      <x:c r="C8" s="13" t="str">
        <x:v>FLP</x:v>
      </x:c>
      <x:c r="D8" s="13" t="str">
        <x:v>FLP</x:v>
      </x:c>
      <x:c r="E8" s="13" t="n">
        <x:f>COUNTIFS('逐题结果'!$A$5:$A$206,A8,'逐题结果'!$C$5:$C$206,B8,'逐题结果'!$D$5:$D$206,C8,'逐题结果'!$E$5:$E$206,D8)</x:f>
        <x:v>14</x:v>
      </x:c>
      <x:c r="F8" s="13" t="n">
        <x:f>SUMIFS('逐题结果'!$I$5:$I$206,'逐题结果'!$A$5:$A$206,A8,'逐题结果'!$C$5:$C$206,B8,'逐题结果'!$D$5:$D$206,C8,'逐题结果'!$E$5:$E$206,D8)</x:f>
        <x:v>14</x:v>
      </x:c>
      <x:c r="G8" s="13" t="n">
        <x:f>SUMIFS('逐题结果'!$J$5:$J$206,'逐题结果'!$A$5:$A$206,A8,'逐题结果'!$C$5:$C$206,B8,'逐题结果'!$D$5:$D$206,C8,'逐题结果'!$E$5:$E$206,D8)</x:f>
        <x:v>14</x:v>
      </x:c>
    </x:row>
    <x:row r="9" ht="23" customHeight="1">
      <x:c r="A9" s="13" t="n">
        <x:v>1</x:v>
      </x:c>
      <x:c r="B9" s="13" t="str">
        <x:v>AP</x:v>
      </x:c>
      <x:c r="C9" s="13" t="str">
        <x:v>AP</x:v>
      </x:c>
      <x:c r="D9" s="13" t="str">
        <x:v>AP</x:v>
      </x:c>
      <x:c r="E9" s="13" t="n">
        <x:f>COUNTIFS('逐题结果'!$A$5:$A$206,A9,'逐题结果'!$C$5:$C$206,B9,'逐题结果'!$D$5:$D$206,C9,'逐题结果'!$E$5:$E$206,D9)</x:f>
        <x:v>5</x:v>
      </x:c>
      <x:c r="F9" s="13" t="n">
        <x:f>SUMIFS('逐题结果'!$I$5:$I$206,'逐题结果'!$A$5:$A$206,A9,'逐题结果'!$C$5:$C$206,B9,'逐题结果'!$D$5:$D$206,C9,'逐题结果'!$E$5:$E$206,D9)</x:f>
        <x:v>5</x:v>
      </x:c>
      <x:c r="G9" s="13" t="n">
        <x:f>SUMIFS('逐题结果'!$J$5:$J$206,'逐题结果'!$A$5:$A$206,A9,'逐题结果'!$C$5:$C$206,B9,'逐题结果'!$D$5:$D$206,C9,'逐题结果'!$E$5:$E$206,D9)</x:f>
        <x:v>5</x:v>
      </x:c>
    </x:row>
    <x:row r="10" ht="23" customHeight="1">
      <x:c r="A10" s="13" t="n">
        <x:v>1</x:v>
      </x:c>
      <x:c r="B10" s="13" t="str">
        <x:v>Mixture</x:v>
      </x:c>
      <x:c r="C10" s="13" t="str">
        <x:v>RA</x:v>
      </x:c>
      <x:c r="D10" s="13" t="str">
        <x:v>RA</x:v>
      </x:c>
      <x:c r="E10" s="13" t="n">
        <x:f>COUNTIFS('逐题结果'!$A$5:$A$206,A10,'逐题结果'!$C$5:$C$206,B10,'逐题结果'!$D$5:$D$206,C10,'逐题结果'!$E$5:$E$206,D10)</x:f>
        <x:v>5</x:v>
      </x:c>
      <x:c r="F10" s="13" t="n">
        <x:f>SUMIFS('逐题结果'!$I$5:$I$206,'逐题结果'!$A$5:$A$206,A10,'逐题结果'!$C$5:$C$206,B10,'逐题结果'!$D$5:$D$206,C10,'逐题结果'!$E$5:$E$206,D10)</x:f>
        <x:v>4</x:v>
      </x:c>
      <x:c r="G10" s="13" t="n">
        <x:f>SUMIFS('逐题结果'!$J$5:$J$206,'逐题结果'!$A$5:$A$206,A10,'逐题结果'!$C$5:$C$206,B10,'逐题结果'!$D$5:$D$206,C10,'逐题结果'!$E$5:$E$206,D10)</x:f>
        <x:v>4</x:v>
      </x:c>
    </x:row>
    <x:row r="11" ht="23" customHeight="1">
      <x:c r="A11" s="13" t="n">
        <x:v>1</x:v>
      </x:c>
      <x:c r="B11" s="13" t="str">
        <x:v>Mixture</x:v>
      </x:c>
      <x:c r="C11" s="13" t="str">
        <x:v>Mixture</x:v>
      </x:c>
      <x:c r="D11" s="13" t="str">
        <x:v>Others</x:v>
      </x:c>
      <x:c r="E11" s="13" t="n">
        <x:f>COUNTIFS('逐题结果'!$A$5:$A$206,A11,'逐题结果'!$C$5:$C$206,B11,'逐题结果'!$D$5:$D$206,C11,'逐题结果'!$E$5:$E$206,D11)</x:f>
        <x:v>11</x:v>
      </x:c>
      <x:c r="F11" s="13" t="n">
        <x:f>SUMIFS('逐题结果'!$I$5:$I$206,'逐题结果'!$A$5:$A$206,A11,'逐题结果'!$C$5:$C$206,B11,'逐题结果'!$D$5:$D$206,C11,'逐题结果'!$E$5:$E$206,D11)</x:f>
        <x:v>11</x:v>
      </x:c>
      <x:c r="G11" s="13" t="n">
        <x:f>SUMIFS('逐题结果'!$J$5:$J$206,'逐题结果'!$A$5:$A$206,A11,'逐题结果'!$C$5:$C$206,B11,'逐题结果'!$D$5:$D$206,C11,'逐题结果'!$E$5:$E$206,D11)</x:f>
        <x:v>10</x:v>
      </x:c>
    </x:row>
    <x:row r="12" ht="23" customHeight="1">
      <x:c r="A12" s="13" t="n">
        <x:v>1</x:v>
      </x:c>
      <x:c r="B12" s="13" t="str">
        <x:v>Mixture</x:v>
      </x:c>
      <x:c r="C12" s="13" t="str">
        <x:v>Others</x:v>
      </x:c>
      <x:c r="D12" s="13" t="str">
        <x:v>Others</x:v>
      </x:c>
      <x:c r="E12" s="13" t="n">
        <x:f>COUNTIFS('逐题结果'!$A$5:$A$206,A12,'逐题结果'!$C$5:$C$206,B12,'逐题结果'!$D$5:$D$206,C12,'逐题结果'!$E$5:$E$206,D12)</x:f>
        <x:v>2</x:v>
      </x:c>
      <x:c r="F12" s="13" t="n">
        <x:f>SUMIFS('逐题结果'!$I$5:$I$206,'逐题结果'!$A$5:$A$206,A12,'逐题结果'!$C$5:$C$206,B12,'逐题结果'!$D$5:$D$206,C12,'逐题结果'!$E$5:$E$206,D12)</x:f>
        <x:v>2</x:v>
      </x:c>
      <x:c r="G12" s="13" t="n">
        <x:f>SUMIFS('逐题结果'!$J$5:$J$206,'逐题结果'!$A$5:$A$206,A12,'逐题结果'!$C$5:$C$206,B12,'逐题结果'!$D$5:$D$206,C12,'逐题结果'!$E$5:$E$206,D12)</x:f>
        <x:v>2</x:v>
      </x:c>
    </x:row>
    <x:row r="13" ht="23" customHeight="1">
      <x:c r="A13" s="13" t="n">
        <x:v>1</x:v>
      </x:c>
      <x:c r="B13" s="13" t="str">
        <x:v>Others</x:v>
      </x:c>
      <x:c r="C13" s="13" t="str">
        <x:v>RA</x:v>
      </x:c>
      <x:c r="D13" s="13" t="str">
        <x:v>RA</x:v>
      </x:c>
      <x:c r="E13" s="13" t="n">
        <x:f>COUNTIFS('逐题结果'!$A$5:$A$206,A13,'逐题结果'!$C$5:$C$206,B13,'逐题结果'!$D$5:$D$206,C13,'逐题结果'!$E$5:$E$206,D13)</x:f>
        <x:v>1</x:v>
      </x:c>
      <x:c r="F13" s="13" t="n">
        <x:f>SUMIFS('逐题结果'!$I$5:$I$206,'逐题结果'!$A$5:$A$206,A13,'逐题结果'!$C$5:$C$206,B13,'逐题结果'!$D$5:$D$206,C13,'逐题结果'!$E$5:$E$206,D13)</x:f>
        <x:v>1</x:v>
      </x:c>
      <x:c r="G13" s="13" t="n">
        <x:f>SUMIFS('逐题结果'!$J$5:$J$206,'逐题结果'!$A$5:$A$206,A13,'逐题结果'!$C$5:$C$206,B13,'逐题结果'!$D$5:$D$206,C13,'逐题结果'!$E$5:$E$206,D13)</x:f>
        <x:v>0</x:v>
      </x:c>
    </x:row>
    <x:row r="14" ht="23" customHeight="1">
      <x:c r="A14" s="13" t="n">
        <x:v>1</x:v>
      </x:c>
      <x:c r="B14" s="13" t="str">
        <x:v>Others</x:v>
      </x:c>
      <x:c r="C14" s="13" t="str">
        <x:v>Others</x:v>
      </x:c>
      <x:c r="D14" s="13" t="str">
        <x:v>Others</x:v>
      </x:c>
      <x:c r="E14" s="13" t="n">
        <x:f>COUNTIFS('逐题结果'!$A$5:$A$206,A14,'逐题结果'!$C$5:$C$206,B14,'逐题结果'!$D$5:$D$206,C14,'逐题结果'!$E$5:$E$206,D14)</x:f>
        <x:v>7</x:v>
      </x:c>
      <x:c r="F14" s="13" t="n">
        <x:f>SUMIFS('逐题结果'!$I$5:$I$206,'逐题结果'!$A$5:$A$206,A14,'逐题结果'!$C$5:$C$206,B14,'逐题结果'!$D$5:$D$206,C14,'逐题结果'!$E$5:$E$206,D14)</x:f>
        <x:v>7</x:v>
      </x:c>
      <x:c r="G14" s="13" t="n">
        <x:f>SUMIFS('逐题结果'!$J$5:$J$206,'逐题结果'!$A$5:$A$206,A14,'逐题结果'!$C$5:$C$206,B14,'逐题结果'!$D$5:$D$206,C14,'逐题结果'!$E$5:$E$206,D14)</x:f>
        <x:v>7</x:v>
      </x:c>
    </x:row>
    <x:row r="15" ht="23" customHeight="1">
      <x:c r="A15" s="13" t="n">
        <x:v>2</x:v>
      </x:c>
      <x:c r="B15" s="13" t="str">
        <x:v>TP</x:v>
      </x:c>
      <x:c r="C15" s="13" t="str">
        <x:v>RA</x:v>
      </x:c>
      <x:c r="D15" s="13" t="str">
        <x:v>RA</x:v>
      </x:c>
      <x:c r="E15" s="13" t="n">
        <x:f>COUNTIFS('逐题结果'!$A$5:$A$206,A15,'逐题结果'!$C$5:$C$206,B15,'逐题结果'!$D$5:$D$206,C15,'逐题结果'!$E$5:$E$206,D15)</x:f>
        <x:v>3</x:v>
      </x:c>
      <x:c r="F15" s="13" t="n">
        <x:f>SUMIFS('逐题结果'!$I$5:$I$206,'逐题结果'!$A$5:$A$206,A15,'逐题结果'!$C$5:$C$206,B15,'逐题结果'!$D$5:$D$206,C15,'逐题结果'!$E$5:$E$206,D15)</x:f>
        <x:v>1</x:v>
      </x:c>
      <x:c r="G15" s="13" t="n">
        <x:f>SUMIFS('逐题结果'!$J$5:$J$206,'逐题结果'!$A$5:$A$206,A15,'逐题结果'!$C$5:$C$206,B15,'逐题结果'!$D$5:$D$206,C15,'逐题结果'!$E$5:$E$206,D15)</x:f>
        <x:v>1</x:v>
      </x:c>
    </x:row>
    <x:row r="16" ht="23" customHeight="1">
      <x:c r="A16" s="13" t="n">
        <x:v>2</x:v>
      </x:c>
      <x:c r="B16" s="13" t="str">
        <x:v>TP</x:v>
      </x:c>
      <x:c r="C16" s="13" t="str">
        <x:v>Others</x:v>
      </x:c>
      <x:c r="D16" s="13" t="str">
        <x:v>Others</x:v>
      </x:c>
      <x:c r="E16" s="13" t="n">
        <x:f>COUNTIFS('逐题结果'!$A$5:$A$206,A16,'逐题结果'!$C$5:$C$206,B16,'逐题结果'!$D$5:$D$206,C16,'逐题结果'!$E$5:$E$206,D16)</x:f>
        <x:v>6</x:v>
      </x:c>
      <x:c r="F16" s="13" t="n">
        <x:f>SUMIFS('逐题结果'!$I$5:$I$206,'逐题结果'!$A$5:$A$206,A16,'逐题结果'!$C$5:$C$206,B16,'逐题结果'!$D$5:$D$206,C16,'逐题结果'!$E$5:$E$206,D16)</x:f>
        <x:v>5</x:v>
      </x:c>
      <x:c r="G16" s="13" t="n">
        <x:f>SUMIFS('逐题结果'!$J$5:$J$206,'逐题结果'!$A$5:$A$206,A16,'逐题结果'!$C$5:$C$206,B16,'逐题结果'!$D$5:$D$206,C16,'逐题结果'!$E$5:$E$206,D16)</x:f>
        <x:v>5</x:v>
      </x:c>
    </x:row>
    <x:row r="17" ht="23" customHeight="1">
      <x:c r="A17" s="13" t="n">
        <x:v>2</x:v>
      </x:c>
      <x:c r="B17" s="13" t="str">
        <x:v>NRM</x:v>
      </x:c>
      <x:c r="C17" s="13" t="str">
        <x:v>RA</x:v>
      </x:c>
      <x:c r="D17" s="13" t="str">
        <x:v>RA</x:v>
      </x:c>
      <x:c r="E17" s="13" t="n">
        <x:f>COUNTIFS('逐题结果'!$A$5:$A$206,A17,'逐题结果'!$C$5:$C$206,B17,'逐题结果'!$D$5:$D$206,C17,'逐题结果'!$E$5:$E$206,D17)</x:f>
        <x:v>25</x:v>
      </x:c>
      <x:c r="F17" s="13" t="n">
        <x:f>SUMIFS('逐题结果'!$I$5:$I$206,'逐题结果'!$A$5:$A$206,A17,'逐题结果'!$C$5:$C$206,B17,'逐题结果'!$D$5:$D$206,C17,'逐题结果'!$E$5:$E$206,D17)</x:f>
        <x:v>20</x:v>
      </x:c>
      <x:c r="G17" s="13" t="n">
        <x:f>SUMIFS('逐题结果'!$J$5:$J$206,'逐题结果'!$A$5:$A$206,A17,'逐题结果'!$C$5:$C$206,B17,'逐题结果'!$D$5:$D$206,C17,'逐题结果'!$E$5:$E$206,D17)</x:f>
        <x:v>18</x:v>
      </x:c>
    </x:row>
    <x:row r="18" ht="23" customHeight="1">
      <x:c r="A18" s="13" t="n">
        <x:v>2</x:v>
      </x:c>
      <x:c r="B18" s="13" t="str">
        <x:v>RA</x:v>
      </x:c>
      <x:c r="C18" s="13" t="str">
        <x:v>Mixture</x:v>
      </x:c>
      <x:c r="D18" s="13" t="str">
        <x:v>Others</x:v>
      </x:c>
      <x:c r="E18" s="13" t="n">
        <x:f>COUNTIFS('逐题结果'!$A$5:$A$206,A18,'逐题结果'!$C$5:$C$206,B18,'逐题结果'!$D$5:$D$206,C18,'逐题结果'!$E$5:$E$206,D18)</x:f>
        <x:v>1</x:v>
      </x:c>
      <x:c r="F18" s="13" t="n">
        <x:f>SUMIFS('逐题结果'!$I$5:$I$206,'逐题结果'!$A$5:$A$206,A18,'逐题结果'!$C$5:$C$206,B18,'逐题结果'!$D$5:$D$206,C18,'逐题结果'!$E$5:$E$206,D18)</x:f>
        <x:v>1</x:v>
      </x:c>
      <x:c r="G18" s="13" t="n">
        <x:f>SUMIFS('逐题结果'!$J$5:$J$206,'逐题结果'!$A$5:$A$206,A18,'逐题结果'!$C$5:$C$206,B18,'逐题结果'!$D$5:$D$206,C18,'逐题结果'!$E$5:$E$206,D18)</x:f>
        <x:v>1</x:v>
      </x:c>
    </x:row>
    <x:row r="19" ht="23" customHeight="1">
      <x:c r="A19" s="13" t="n">
        <x:v>2</x:v>
      </x:c>
      <x:c r="B19" s="13" t="str">
        <x:v>RA</x:v>
      </x:c>
      <x:c r="C19" s="13" t="str">
        <x:v>Others</x:v>
      </x:c>
      <x:c r="D19" s="13" t="str">
        <x:v>Others</x:v>
      </x:c>
      <x:c r="E19" s="13" t="n">
        <x:f>COUNTIFS('逐题结果'!$A$5:$A$206,A19,'逐题结果'!$C$5:$C$206,B19,'逐题结果'!$D$5:$D$206,C19,'逐题结果'!$E$5:$E$206,D19)</x:f>
        <x:v>21</x:v>
      </x:c>
      <x:c r="F19" s="13" t="n">
        <x:f>SUMIFS('逐题结果'!$I$5:$I$206,'逐题结果'!$A$5:$A$206,A19,'逐题结果'!$C$5:$C$206,B19,'逐题结果'!$D$5:$D$206,C19,'逐题结果'!$E$5:$E$206,D19)</x:f>
        <x:v>20</x:v>
      </x:c>
      <x:c r="G19" s="13" t="n">
        <x:f>SUMIFS('逐题结果'!$J$5:$J$206,'逐题结果'!$A$5:$A$206,A19,'逐题结果'!$C$5:$C$206,B19,'逐题结果'!$D$5:$D$206,C19,'逐题结果'!$E$5:$E$206,D19)</x:f>
        <x:v>19</x:v>
      </x:c>
    </x:row>
    <x:row r="20" ht="23" customHeight="1">
      <x:c r="A20" s="13" t="n">
        <x:v>2</x:v>
      </x:c>
      <x:c r="B20" s="13" t="str">
        <x:v>FLP</x:v>
      </x:c>
      <x:c r="C20" s="13" t="str">
        <x:v>Mixture</x:v>
      </x:c>
      <x:c r="D20" s="13" t="str">
        <x:v>Others</x:v>
      </x:c>
      <x:c r="E20" s="13" t="n">
        <x:f>COUNTIFS('逐题结果'!$A$5:$A$206,A20,'逐题结果'!$C$5:$C$206,B20,'逐题结果'!$D$5:$D$206,C20,'逐题结果'!$E$5:$E$206,D20)</x:f>
        <x:v>14</x:v>
      </x:c>
      <x:c r="F20" s="13" t="n">
        <x:f>SUMIFS('逐题结果'!$I$5:$I$206,'逐题结果'!$A$5:$A$206,A20,'逐题结果'!$C$5:$C$206,B20,'逐题结果'!$D$5:$D$206,C20,'逐题结果'!$E$5:$E$206,D20)</x:f>
        <x:v>14</x:v>
      </x:c>
      <x:c r="G20" s="13" t="n">
        <x:f>SUMIFS('逐题结果'!$J$5:$J$206,'逐题结果'!$A$5:$A$206,A20,'逐题结果'!$C$5:$C$206,B20,'逐题结果'!$D$5:$D$206,C20,'逐题结果'!$E$5:$E$206,D20)</x:f>
        <x:v>14</x:v>
      </x:c>
    </x:row>
    <x:row r="21" ht="23" customHeight="1">
      <x:c r="A21" s="13" t="n">
        <x:v>2</x:v>
      </x:c>
      <x:c r="B21" s="13" t="str">
        <x:v>AP</x:v>
      </x:c>
      <x:c r="C21" s="13" t="str">
        <x:v>Others</x:v>
      </x:c>
      <x:c r="D21" s="13" t="str">
        <x:v>Others</x:v>
      </x:c>
      <x:c r="E21" s="13" t="n">
        <x:f>COUNTIFS('逐题结果'!$A$5:$A$206,A21,'逐题结果'!$C$5:$C$206,B21,'逐题结果'!$D$5:$D$206,C21,'逐题结果'!$E$5:$E$206,D21)</x:f>
        <x:v>5</x:v>
      </x:c>
      <x:c r="F21" s="13" t="n">
        <x:f>SUMIFS('逐题结果'!$I$5:$I$206,'逐题结果'!$A$5:$A$206,A21,'逐题结果'!$C$5:$C$206,B21,'逐题结果'!$D$5:$D$206,C21,'逐题结果'!$E$5:$E$206,D21)</x:f>
        <x:v>5</x:v>
      </x:c>
      <x:c r="G21" s="13" t="n">
        <x:f>SUMIFS('逐题结果'!$J$5:$J$206,'逐题结果'!$A$5:$A$206,A21,'逐题结果'!$C$5:$C$206,B21,'逐题结果'!$D$5:$D$206,C21,'逐题结果'!$E$5:$E$206,D21)</x:f>
        <x:v>5</x:v>
      </x:c>
    </x:row>
    <x:row r="22" ht="23" customHeight="1">
      <x:c r="A22" s="13" t="n">
        <x:v>2</x:v>
      </x:c>
      <x:c r="B22" s="13" t="str">
        <x:v>Mixture</x:v>
      </x:c>
      <x:c r="C22" s="13" t="str">
        <x:v>TP</x:v>
      </x:c>
      <x:c r="D22" s="13" t="str">
        <x:v>TP</x:v>
      </x:c>
      <x:c r="E22" s="13" t="n">
        <x:f>COUNTIFS('逐题结果'!$A$5:$A$206,A22,'逐题结果'!$C$5:$C$206,B22,'逐题结果'!$D$5:$D$206,C22,'逐题结果'!$E$5:$E$206,D22)</x:f>
        <x:v>3</x:v>
      </x:c>
      <x:c r="F22" s="13" t="n">
        <x:f>SUMIFS('逐题结果'!$I$5:$I$206,'逐题结果'!$A$5:$A$206,A22,'逐题结果'!$C$5:$C$206,B22,'逐题结果'!$D$5:$D$206,C22,'逐题结果'!$E$5:$E$206,D22)</x:f>
        <x:v>2</x:v>
      </x:c>
      <x:c r="G22" s="13" t="n">
        <x:f>SUMIFS('逐题结果'!$J$5:$J$206,'逐题结果'!$A$5:$A$206,A22,'逐题结果'!$C$5:$C$206,B22,'逐题结果'!$D$5:$D$206,C22,'逐题结果'!$E$5:$E$206,D22)</x:f>
        <x:v>1</x:v>
      </x:c>
    </x:row>
    <x:row r="23" ht="23" customHeight="1">
      <x:c r="A23" s="13" t="n">
        <x:v>2</x:v>
      </x:c>
      <x:c r="B23" s="13" t="str">
        <x:v>Mixture</x:v>
      </x:c>
      <x:c r="C23" s="13" t="str">
        <x:v>RA</x:v>
      </x:c>
      <x:c r="D23" s="13" t="str">
        <x:v>RA</x:v>
      </x:c>
      <x:c r="E23" s="13" t="n">
        <x:f>COUNTIFS('逐题结果'!$A$5:$A$206,A23,'逐题结果'!$C$5:$C$206,B23,'逐题结果'!$D$5:$D$206,C23,'逐题结果'!$E$5:$E$206,D23)</x:f>
        <x:v>13</x:v>
      </x:c>
      <x:c r="F23" s="13" t="n">
        <x:f>SUMIFS('逐题结果'!$I$5:$I$206,'逐题结果'!$A$5:$A$206,A23,'逐题结果'!$C$5:$C$206,B23,'逐题结果'!$D$5:$D$206,C23,'逐题结果'!$E$5:$E$206,D23)</x:f>
        <x:v>10</x:v>
      </x:c>
      <x:c r="G23" s="13" t="n">
        <x:f>SUMIFS('逐题结果'!$J$5:$J$206,'逐题结果'!$A$5:$A$206,A23,'逐题结果'!$C$5:$C$206,B23,'逐题结果'!$D$5:$D$206,C23,'逐题结果'!$E$5:$E$206,D23)</x:f>
        <x:v>9</x:v>
      </x:c>
    </x:row>
    <x:row r="24" ht="23" customHeight="1">
      <x:c r="A24" s="13" t="n">
        <x:v>2</x:v>
      </x:c>
      <x:c r="B24" s="13" t="str">
        <x:v>Mixture</x:v>
      </x:c>
      <x:c r="C24" s="13" t="str">
        <x:v>AP</x:v>
      </x:c>
      <x:c r="D24" s="13" t="str">
        <x:v>AP</x:v>
      </x:c>
      <x:c r="E24" s="13" t="n">
        <x:f>COUNTIFS('逐题结果'!$A$5:$A$206,A24,'逐题结果'!$C$5:$C$206,B24,'逐题结果'!$D$5:$D$206,C24,'逐题结果'!$E$5:$E$206,D24)</x:f>
        <x:v>2</x:v>
      </x:c>
      <x:c r="F24" s="13" t="n">
        <x:f>SUMIFS('逐题结果'!$I$5:$I$206,'逐题结果'!$A$5:$A$206,A24,'逐题结果'!$C$5:$C$206,B24,'逐题结果'!$D$5:$D$206,C24,'逐题结果'!$E$5:$E$206,D24)</x:f>
        <x:v>2</x:v>
      </x:c>
      <x:c r="G24" s="13" t="n">
        <x:f>SUMIFS('逐题结果'!$J$5:$J$206,'逐题结果'!$A$5:$A$206,A24,'逐题结果'!$C$5:$C$206,B24,'逐题结果'!$D$5:$D$206,C24,'逐题结果'!$E$5:$E$206,D24)</x:f>
        <x:v>1</x:v>
      </x:c>
    </x:row>
    <x:row r="25" ht="23" customHeight="1">
      <x:c r="A25" s="13" t="n">
        <x:v>2</x:v>
      </x:c>
      <x:c r="B25" s="13" t="str">
        <x:v>Others</x:v>
      </x:c>
      <x:c r="C25" s="13" t="str">
        <x:v>TP</x:v>
      </x:c>
      <x:c r="D25" s="13" t="str">
        <x:v>TP</x:v>
      </x:c>
      <x:c r="E25" s="13" t="n">
        <x:f>COUNTIFS('逐题结果'!$A$5:$A$206,A25,'逐题结果'!$C$5:$C$206,B25,'逐题结果'!$D$5:$D$206,C25,'逐题结果'!$E$5:$E$206,D25)</x:f>
        <x:v>1</x:v>
      </x:c>
      <x:c r="F25" s="13" t="n">
        <x:f>SUMIFS('逐题结果'!$I$5:$I$206,'逐题结果'!$A$5:$A$206,A25,'逐题结果'!$C$5:$C$206,B25,'逐题结果'!$D$5:$D$206,C25,'逐题结果'!$E$5:$E$206,D25)</x:f>
        <x:v>1</x:v>
      </x:c>
      <x:c r="G25" s="13" t="n">
        <x:f>SUMIFS('逐题结果'!$J$5:$J$206,'逐题结果'!$A$5:$A$206,A25,'逐题结果'!$C$5:$C$206,B25,'逐题结果'!$D$5:$D$206,C25,'逐题结果'!$E$5:$E$206,D25)</x:f>
        <x:v>1</x:v>
      </x:c>
    </x:row>
    <x:row r="26" ht="23" customHeight="1">
      <x:c r="A26" s="13" t="n">
        <x:v>2</x:v>
      </x:c>
      <x:c r="B26" s="13" t="str">
        <x:v>Others</x:v>
      </x:c>
      <x:c r="C26" s="13" t="str">
        <x:v>RA</x:v>
      </x:c>
      <x:c r="D26" s="13" t="str">
        <x:v>RA</x:v>
      </x:c>
      <x:c r="E26" s="13" t="n">
        <x:f>COUNTIFS('逐题结果'!$A$5:$A$206,A26,'逐题结果'!$C$5:$C$206,B26,'逐题结果'!$D$5:$D$206,C26,'逐题结果'!$E$5:$E$206,D26)</x:f>
        <x:v>5</x:v>
      </x:c>
      <x:c r="F26" s="13" t="n">
        <x:f>SUMIFS('逐题结果'!$I$5:$I$206,'逐题结果'!$A$5:$A$206,A26,'逐题结果'!$C$5:$C$206,B26,'逐题结果'!$D$5:$D$206,C26,'逐题结果'!$E$5:$E$206,D26)</x:f>
        <x:v>5</x:v>
      </x:c>
      <x:c r="G26" s="13" t="n">
        <x:f>SUMIFS('逐题结果'!$J$5:$J$206,'逐题结果'!$A$5:$A$206,A26,'逐题结果'!$C$5:$C$206,B26,'逐题结果'!$D$5:$D$206,C26,'逐题结果'!$E$5:$E$206,D26)</x:f>
        <x:v>4</x:v>
      </x:c>
    </x:row>
    <x:row r="27" ht="23" customHeight="1">
      <x:c r="A27" s="13" t="n">
        <x:v>2</x:v>
      </x:c>
      <x:c r="B27" s="13" t="str">
        <x:v>Others</x:v>
      </x:c>
      <x:c r="C27" s="13" t="str">
        <x:v>AP</x:v>
      </x:c>
      <x:c r="D27" s="13" t="str">
        <x:v>AP</x:v>
      </x:c>
      <x:c r="E27" s="13" t="n">
        <x:f>COUNTIFS('逐题结果'!$A$5:$A$206,A27,'逐题结果'!$C$5:$C$206,B27,'逐题结果'!$D$5:$D$206,C27,'逐题结果'!$E$5:$E$206,D27)</x:f>
        <x:v>2</x:v>
      </x:c>
      <x:c r="F27" s="13" t="n">
        <x:f>SUMIFS('逐题结果'!$I$5:$I$206,'逐题结果'!$A$5:$A$206,A27,'逐题结果'!$C$5:$C$206,B27,'逐题结果'!$D$5:$D$206,C27,'逐题结果'!$E$5:$E$206,D27)</x:f>
        <x:v>2</x:v>
      </x:c>
      <x:c r="G27" s="13" t="n">
        <x:f>SUMIFS('逐题结果'!$J$5:$J$206,'逐题结果'!$A$5:$A$206,A27,'逐题结果'!$C$5:$C$206,B27,'逐题结果'!$D$5:$D$206,C27,'逐题结果'!$E$5:$E$206,D27)</x:f>
        <x:v>1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1b30031ed594b7b"/>
  </x:tableParts>
</x:worksheet>
</file>

<file path=xl/worksheets/sheet3.xml><?xml version="1.0" encoding="utf-8"?>
<x:worksheet xmlns:x="http://schemas.openxmlformats.org/spreadsheetml/2006/main">
  <x:sheetPr>
    <x:tabColor rgb="FF117C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24" hidden="0" customWidth="1"/>
    <x:col min="15" max="15" width="25" hidden="0" customWidth="1"/>
    <x:col min="16" max="16" width="25" hidden="0" customWidth="1"/>
  </x:cols>
  <x:sheetData>
    <x:row r="1" ht="34" customHeight="1">
      <x:c r="A1" s="3" t="str">
        <x:v>101 题配对比较｜实验 1 与实验 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5" t="str">
        <x:v>同题对照真实类别、预测标签、route、求解及目标匹配。两组题干、数据路径与参考目标已核对一致。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2" customHeight="1">
      <x:c r="A3" s="5" t="str">
        <x:v>可筛选“匹配变化”定位新增或丢失的题目。求解/匹配标记：1＝是，0＝否。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 ht="32" customHeight="1">
      <x:c r="A4" s="8" t="str">
        <x:v>题号</x:v>
      </x:c>
      <x:c r="B4" s="8" t="str">
        <x:v>真实类别</x:v>
      </x:c>
      <x:c r="C4" s="8" t="str">
        <x:v>参考目标值</x:v>
      </x:c>
      <x:c r="D4" s="8" t="str">
        <x:v>实验1 预测</x:v>
      </x:c>
      <x:c r="E4" s="8" t="str">
        <x:v>实验1 route</x:v>
      </x:c>
      <x:c r="F4" s="8" t="str">
        <x:v>实验1 求解</x:v>
      </x:c>
      <x:c r="G4" s="8" t="str">
        <x:v>实验1 匹配</x:v>
      </x:c>
      <x:c r="H4" s="8" t="str">
        <x:v>实验1 目标值</x:v>
      </x:c>
      <x:c r="I4" s="8" t="str">
        <x:v>实验2 预测</x:v>
      </x:c>
      <x:c r="J4" s="8" t="str">
        <x:v>实验2 route</x:v>
      </x:c>
      <x:c r="K4" s="8" t="str">
        <x:v>实验2 求解</x:v>
      </x:c>
      <x:c r="L4" s="8" t="str">
        <x:v>实验2 匹配</x:v>
      </x:c>
      <x:c r="M4" s="8" t="str">
        <x:v>实验2 目标值</x:v>
      </x:c>
      <x:c r="N4" s="8" t="str">
        <x:v>匹配变化</x:v>
      </x:c>
      <x:c r="O4" s="8" t="str">
        <x:v>实验1 错误</x:v>
      </x:c>
      <x:c r="P4" s="8" t="str">
        <x:v>实验2 错误</x:v>
      </x:c>
    </x:row>
    <x:row r="5" ht="23" customHeight="1">
      <x:c r="A5" s="13" t="str">
        <x:f>'逐题结果'!B5</x:f>
        <x:v>OR-001</x:v>
      </x:c>
      <x:c r="B5" s="13" t="str">
        <x:f>'逐题结果'!C5</x:f>
        <x:v>TP</x:v>
      </x:c>
      <x:c r="C5" s="10" t="n">
        <x:f>'逐题结果'!L5</x:f>
        <x:v>172752.8246</x:v>
      </x:c>
      <x:c r="D5" s="13" t="str">
        <x:f>'逐题结果'!D5</x:f>
        <x:v>TP</x:v>
      </x:c>
      <x:c r="E5" s="13" t="str">
        <x:f>'逐题结果'!E5</x:f>
        <x:v>TP</x:v>
      </x:c>
      <x:c r="F5" s="13" t="n">
        <x:f>'逐题结果'!I5</x:f>
        <x:v>1</x:v>
      </x:c>
      <x:c r="G5" s="13" t="n">
        <x:f>'逐题结果'!J5</x:f>
        <x:v>1</x:v>
      </x:c>
      <x:c r="H5" s="10" t="n">
        <x:f>IF(F5=1,'逐题结果'!K5,"")</x:f>
        <x:v>172752.82458839755</x:v>
      </x:c>
      <x:c r="I5" s="13" t="str">
        <x:f>'逐题结果'!D106</x:f>
        <x:v>Others</x:v>
      </x:c>
      <x:c r="J5" s="13" t="str">
        <x:f>'逐题结果'!E106</x:f>
        <x:v>Others</x:v>
      </x:c>
      <x:c r="K5" s="13" t="n">
        <x:f>'逐题结果'!I106</x:f>
        <x:v>1</x:v>
      </x:c>
      <x:c r="L5" s="13" t="n">
        <x:f>'逐题结果'!J106</x:f>
        <x:v>1</x:v>
      </x:c>
      <x:c r="M5" s="10" t="n">
        <x:f>IF(K5=1,'逐题结果'!K106,"")</x:f>
        <x:v>172752.82458839755</x:v>
      </x:c>
      <x:c r="N5" s="13" t="str">
        <x:f>IF(G5=1,IF(L5=1,"两组均匹配","实验2丢失匹配"),IF(L5=1,"实验2新增匹配","两组均不匹配"))</x:f>
        <x:v>两组均匹配</x:v>
      </x:c>
      <x:c r="O5" s="2"/>
      <x:c r="P5" s="2"/>
    </x:row>
    <x:row r="6" ht="23" customHeight="1">
      <x:c r="A6" s="13" t="str">
        <x:f>'逐题结果'!B6</x:f>
        <x:v>OR-002</x:v>
      </x:c>
      <x:c r="B6" s="13" t="str">
        <x:f>'逐题结果'!C6</x:f>
        <x:v>TP</x:v>
      </x:c>
      <x:c r="C6" s="10" t="n">
        <x:f>'逐题结果'!L6</x:f>
        <x:v>6464420.7</x:v>
      </x:c>
      <x:c r="D6" s="13" t="str">
        <x:f>'逐题结果'!D6</x:f>
        <x:v>TP</x:v>
      </x:c>
      <x:c r="E6" s="13" t="str">
        <x:f>'逐题结果'!E6</x:f>
        <x:v>TP</x:v>
      </x:c>
      <x:c r="F6" s="13" t="n">
        <x:f>'逐题结果'!I6</x:f>
        <x:v>1</x:v>
      </x:c>
      <x:c r="G6" s="13" t="n">
        <x:f>'逐题结果'!J6</x:f>
        <x:v>1</x:v>
      </x:c>
      <x:c r="H6" s="10" t="n">
        <x:f>IF(F6=1,'逐题结果'!K6,"")</x:f>
        <x:v>6464420.6996351</x:v>
      </x:c>
      <x:c r="I6" s="13" t="str">
        <x:f>'逐题结果'!D107</x:f>
        <x:v>RA</x:v>
      </x:c>
      <x:c r="J6" s="13" t="str">
        <x:f>'逐题结果'!E107</x:f>
        <x:v>RA</x:v>
      </x:c>
      <x:c r="K6" s="13" t="n">
        <x:f>'逐题结果'!I107</x:f>
        <x:v>1</x:v>
      </x:c>
      <x:c r="L6" s="13" t="n">
        <x:f>'逐题结果'!J107</x:f>
        <x:v>1</x:v>
      </x:c>
      <x:c r="M6" s="10" t="n">
        <x:f>IF(K6=1,'逐题结果'!K107,"")</x:f>
        <x:v>6464420.6996351</x:v>
      </x:c>
      <x:c r="N6" s="13" t="str">
        <x:f>IF(G6=1,IF(L6=1,"两组均匹配","实验2丢失匹配"),IF(L6=1,"实验2新增匹配","两组均不匹配"))</x:f>
        <x:v>两组均匹配</x:v>
      </x:c>
      <x:c r="O6" s="2"/>
      <x:c r="P6" s="2"/>
    </x:row>
    <x:row r="7" ht="23" customHeight="1">
      <x:c r="A7" s="13" t="str">
        <x:f>'逐题结果'!B7</x:f>
        <x:v>OR-003</x:v>
      </x:c>
      <x:c r="B7" s="13" t="str">
        <x:f>'逐题结果'!C7</x:f>
        <x:v>TP</x:v>
      </x:c>
      <x:c r="C7" s="10" t="n">
        <x:f>'逐题结果'!L7</x:f>
        <x:v>36778.51094</x:v>
      </x:c>
      <x:c r="D7" s="13" t="str">
        <x:f>'逐题结果'!D7</x:f>
        <x:v>TP</x:v>
      </x:c>
      <x:c r="E7" s="13" t="str">
        <x:f>'逐题结果'!E7</x:f>
        <x:v>TP</x:v>
      </x:c>
      <x:c r="F7" s="13" t="n">
        <x:f>'逐题结果'!I7</x:f>
        <x:v>0</x:v>
      </x:c>
      <x:c r="G7" s="13" t="n">
        <x:f>'逐题结果'!J7</x:f>
        <x:v>0</x:v>
      </x:c>
      <x:c r="H7" s="10" t="str">
        <x:f>IF(F7=1,'逐题结果'!K7,"")</x:f>
      </x:c>
      <x:c r="I7" s="13" t="str">
        <x:f>'逐题结果'!D108</x:f>
        <x:v>RA</x:v>
      </x:c>
      <x:c r="J7" s="13" t="str">
        <x:f>'逐题结果'!E108</x:f>
        <x:v>RA</x:v>
      </x:c>
      <x:c r="K7" s="13" t="n">
        <x:f>'逐题结果'!I108</x:f>
        <x:v>0</x:v>
      </x:c>
      <x:c r="L7" s="13" t="n">
        <x:f>'逐题结果'!J108</x:f>
        <x:v>0</x:v>
      </x:c>
      <x:c r="M7" s="10" t="str">
        <x:f>IF(K7=1,'逐题结果'!K108,"")</x:f>
      </x:c>
      <x:c r="N7" s="13" t="str">
        <x:f>IF(G7=1,IF(L7=1,"两组均匹配","实验2丢失匹配"),IF(L7=1,"实验2新增匹配","两组均不匹配"))</x:f>
        <x:v>两组均不匹配</x:v>
      </x:c>
      <x:c r="O7" s="2" t="str">
        <x:v>APITimeoutError</x:v>
      </x:c>
      <x:c r="P7" s="2" t="str">
        <x:v>ValueError</x:v>
      </x:c>
    </x:row>
    <x:row r="8" ht="23" customHeight="1">
      <x:c r="A8" s="13" t="str">
        <x:f>'逐题结果'!B8</x:f>
        <x:v>OR-004</x:v>
      </x:c>
      <x:c r="B8" s="13" t="str">
        <x:f>'逐题结果'!C8</x:f>
        <x:v>TP</x:v>
      </x:c>
      <x:c r="C8" s="10" t="n">
        <x:f>'逐题结果'!L8</x:f>
        <x:v>913520.1123</x:v>
      </x:c>
      <x:c r="D8" s="13" t="str">
        <x:f>'逐题结果'!D8</x:f>
        <x:v>TP</x:v>
      </x:c>
      <x:c r="E8" s="13" t="str">
        <x:f>'逐题结果'!E8</x:f>
        <x:v>TP</x:v>
      </x:c>
      <x:c r="F8" s="13" t="n">
        <x:f>'逐题结果'!I8</x:f>
        <x:v>1</x:v>
      </x:c>
      <x:c r="G8" s="13" t="n">
        <x:f>'逐题结果'!J8</x:f>
        <x:v>1</x:v>
      </x:c>
      <x:c r="H8" s="10" t="n">
        <x:f>IF(F8=1,'逐题结果'!K8,"")</x:f>
        <x:v>913520.1122932937</x:v>
      </x:c>
      <x:c r="I8" s="13" t="str">
        <x:f>'逐题结果'!D109</x:f>
        <x:v>Others</x:v>
      </x:c>
      <x:c r="J8" s="13" t="str">
        <x:f>'逐题结果'!E109</x:f>
        <x:v>Others</x:v>
      </x:c>
      <x:c r="K8" s="13" t="n">
        <x:f>'逐题结果'!I109</x:f>
        <x:v>1</x:v>
      </x:c>
      <x:c r="L8" s="13" t="n">
        <x:f>'逐题结果'!J109</x:f>
        <x:v>1</x:v>
      </x:c>
      <x:c r="M8" s="10" t="n">
        <x:f>IF(K8=1,'逐题结果'!K109,"")</x:f>
        <x:v>913520.1122932937</x:v>
      </x:c>
      <x:c r="N8" s="13" t="str">
        <x:f>IF(G8=1,IF(L8=1,"两组均匹配","实验2丢失匹配"),IF(L8=1,"实验2新增匹配","两组均不匹配"))</x:f>
        <x:v>两组均匹配</x:v>
      </x:c>
      <x:c r="O8" s="2"/>
      <x:c r="P8" s="2"/>
    </x:row>
    <x:row r="9" ht="23" customHeight="1">
      <x:c r="A9" s="13" t="str">
        <x:f>'逐题结果'!B9</x:f>
        <x:v>OR-005</x:v>
      </x:c>
      <x:c r="B9" s="13" t="str">
        <x:f>'逐题结果'!C9</x:f>
        <x:v>TP</x:v>
      </x:c>
      <x:c r="C9" s="10" t="n">
        <x:f>'逐题结果'!L9</x:f>
        <x:v>2710.934184</x:v>
      </x:c>
      <x:c r="D9" s="13" t="str">
        <x:f>'逐题结果'!D9</x:f>
        <x:v>TP</x:v>
      </x:c>
      <x:c r="E9" s="13" t="str">
        <x:f>'逐题结果'!E9</x:f>
        <x:v>TP</x:v>
      </x:c>
      <x:c r="F9" s="13" t="n">
        <x:f>'逐题结果'!I9</x:f>
        <x:v>1</x:v>
      </x:c>
      <x:c r="G9" s="13" t="n">
        <x:f>'逐题结果'!J9</x:f>
        <x:v>1</x:v>
      </x:c>
      <x:c r="H9" s="10" t="n">
        <x:f>IF(F9=1,'逐题结果'!K9,"")</x:f>
        <x:v>2710.9341837579004</x:v>
      </x:c>
      <x:c r="I9" s="13" t="str">
        <x:f>'逐题结果'!D110</x:f>
        <x:v>Others</x:v>
      </x:c>
      <x:c r="J9" s="13" t="str">
        <x:f>'逐题结果'!E110</x:f>
        <x:v>Others</x:v>
      </x:c>
      <x:c r="K9" s="13" t="n">
        <x:f>'逐题结果'!I110</x:f>
        <x:v>0</x:v>
      </x:c>
      <x:c r="L9" s="13" t="n">
        <x:f>'逐题结果'!J110</x:f>
        <x:v>0</x:v>
      </x:c>
      <x:c r="M9" s="10" t="str">
        <x:f>IF(K9=1,'逐题结果'!K110,"")</x:f>
      </x:c>
      <x:c r="N9" s="13" t="str">
        <x:f>IF(G9=1,IF(L9=1,"两组均匹配","实验2丢失匹配"),IF(L9=1,"实验2新增匹配","两组均不匹配"))</x:f>
        <x:v>实验2丢失匹配</x:v>
      </x:c>
      <x:c r="O9" s="2"/>
      <x:c r="P9" s="2" t="str">
        <x:v>ValueError</x:v>
      </x:c>
    </x:row>
    <x:row r="10" ht="23" customHeight="1">
      <x:c r="A10" s="13" t="str">
        <x:f>'逐题结果'!B10</x:f>
        <x:v>OR-006</x:v>
      </x:c>
      <x:c r="B10" s="13" t="str">
        <x:f>'逐题结果'!C10</x:f>
        <x:v>TP</x:v>
      </x:c>
      <x:c r="C10" s="10" t="n">
        <x:f>'逐题结果'!L10</x:f>
        <x:v>6340.972287</x:v>
      </x:c>
      <x:c r="D10" s="13" t="str">
        <x:f>'逐题结果'!D10</x:f>
        <x:v>TP</x:v>
      </x:c>
      <x:c r="E10" s="13" t="str">
        <x:f>'逐题结果'!E10</x:f>
        <x:v>TP</x:v>
      </x:c>
      <x:c r="F10" s="13" t="n">
        <x:f>'逐题结果'!I10</x:f>
        <x:v>1</x:v>
      </x:c>
      <x:c r="G10" s="13" t="n">
        <x:f>'逐题结果'!J10</x:f>
        <x:v>1</x:v>
      </x:c>
      <x:c r="H10" s="10" t="n">
        <x:f>IF(F10=1,'逐题结果'!K10,"")</x:f>
        <x:v>6340.972286592267</x:v>
      </x:c>
      <x:c r="I10" s="13" t="str">
        <x:f>'逐题结果'!D111</x:f>
        <x:v>RA</x:v>
      </x:c>
      <x:c r="J10" s="13" t="str">
        <x:f>'逐题结果'!E111</x:f>
        <x:v>RA</x:v>
      </x:c>
      <x:c r="K10" s="13" t="n">
        <x:f>'逐题结果'!I111</x:f>
        <x:v>0</x:v>
      </x:c>
      <x:c r="L10" s="13" t="n">
        <x:f>'逐题结果'!J111</x:f>
        <x:v>0</x:v>
      </x:c>
      <x:c r="M10" s="10" t="str">
        <x:f>IF(K10=1,'逐题结果'!K111,"")</x:f>
      </x:c>
      <x:c r="N10" s="13" t="str">
        <x:f>IF(G10=1,IF(L10=1,"两组均匹配","实验2丢失匹配"),IF(L10=1,"实验2新增匹配","两组均不匹配"))</x:f>
        <x:v>实验2丢失匹配</x:v>
      </x:c>
      <x:c r="O10" s="2"/>
      <x:c r="P10" s="2" t="str">
        <x:v>ValueError</x:v>
      </x:c>
    </x:row>
    <x:row r="11" ht="23" customHeight="1">
      <x:c r="A11" s="13" t="str">
        <x:f>'逐题结果'!B11</x:f>
        <x:v>OR-007</x:v>
      </x:c>
      <x:c r="B11" s="13" t="str">
        <x:f>'逐题结果'!C11</x:f>
        <x:v>TP</x:v>
      </x:c>
      <x:c r="C11" s="10" t="n">
        <x:f>'逐题结果'!L11</x:f>
        <x:v>10291.27701</x:v>
      </x:c>
      <x:c r="D11" s="13" t="str">
        <x:f>'逐题结果'!D11</x:f>
        <x:v>TP</x:v>
      </x:c>
      <x:c r="E11" s="13" t="str">
        <x:f>'逐题结果'!E11</x:f>
        <x:v>TP</x:v>
      </x:c>
      <x:c r="F11" s="13" t="n">
        <x:f>'逐题结果'!I11</x:f>
        <x:v>1</x:v>
      </x:c>
      <x:c r="G11" s="13" t="n">
        <x:f>'逐题结果'!J11</x:f>
        <x:v>1</x:v>
      </x:c>
      <x:c r="H11" s="10" t="n">
        <x:f>IF(F11=1,'逐题结果'!K11,"")</x:f>
        <x:v>10291.2770066575</x:v>
      </x:c>
      <x:c r="I11" s="13" t="str">
        <x:f>'逐题结果'!D112</x:f>
        <x:v>Others</x:v>
      </x:c>
      <x:c r="J11" s="13" t="str">
        <x:f>'逐题结果'!E112</x:f>
        <x:v>Others</x:v>
      </x:c>
      <x:c r="K11" s="13" t="n">
        <x:f>'逐题结果'!I112</x:f>
        <x:v>1</x:v>
      </x:c>
      <x:c r="L11" s="13" t="n">
        <x:f>'逐题结果'!J112</x:f>
        <x:v>1</x:v>
      </x:c>
      <x:c r="M11" s="10" t="n">
        <x:f>IF(K11=1,'逐题结果'!K112,"")</x:f>
        <x:v>10291.277006657501</x:v>
      </x:c>
      <x:c r="N11" s="13" t="str">
        <x:f>IF(G11=1,IF(L11=1,"两组均匹配","实验2丢失匹配"),IF(L11=1,"实验2新增匹配","两组均不匹配"))</x:f>
        <x:v>两组均匹配</x:v>
      </x:c>
      <x:c r="O11" s="2"/>
      <x:c r="P11" s="2"/>
    </x:row>
    <x:row r="12" ht="23" customHeight="1">
      <x:c r="A12" s="13" t="str">
        <x:f>'逐题结果'!B12</x:f>
        <x:v>OR-008</x:v>
      </x:c>
      <x:c r="B12" s="13" t="str">
        <x:f>'逐题结果'!C12</x:f>
        <x:v>TP</x:v>
      </x:c>
      <x:c r="C12" s="10" t="n">
        <x:f>'逐题结果'!L12</x:f>
        <x:v>660</x:v>
      </x:c>
      <x:c r="D12" s="13" t="str">
        <x:f>'逐题结果'!D12</x:f>
        <x:v>TP</x:v>
      </x:c>
      <x:c r="E12" s="13" t="str">
        <x:f>'逐题结果'!E12</x:f>
        <x:v>TP</x:v>
      </x:c>
      <x:c r="F12" s="13" t="n">
        <x:f>'逐题结果'!I12</x:f>
        <x:v>0</x:v>
      </x:c>
      <x:c r="G12" s="13" t="n">
        <x:f>'逐题结果'!J12</x:f>
        <x:v>0</x:v>
      </x:c>
      <x:c r="H12" s="10" t="str">
        <x:f>IF(F12=1,'逐题结果'!K12,"")</x:f>
      </x:c>
      <x:c r="I12" s="13" t="str">
        <x:f>'逐题结果'!D113</x:f>
        <x:v>Others</x:v>
      </x:c>
      <x:c r="J12" s="13" t="str">
        <x:f>'逐题结果'!E113</x:f>
        <x:v>Others</x:v>
      </x:c>
      <x:c r="K12" s="13" t="n">
        <x:f>'逐题结果'!I113</x:f>
        <x:v>1</x:v>
      </x:c>
      <x:c r="L12" s="13" t="n">
        <x:f>'逐题结果'!J113</x:f>
        <x:v>1</x:v>
      </x:c>
      <x:c r="M12" s="10" t="n">
        <x:f>IF(K12=1,'逐题结果'!K113,"")</x:f>
        <x:v>660</x:v>
      </x:c>
      <x:c r="N12" s="13" t="str">
        <x:f>IF(G12=1,IF(L12=1,"两组均匹配","实验2丢失匹配"),IF(L12=1,"实验2新增匹配","两组均不匹配"))</x:f>
        <x:v>实验2新增匹配</x:v>
      </x:c>
      <x:c r="O12" s="2" t="str">
        <x:v>TypeError</x:v>
      </x:c>
      <x:c r="P12" s="2"/>
    </x:row>
    <x:row r="13" ht="23" customHeight="1">
      <x:c r="A13" s="13" t="str">
        <x:f>'逐题结果'!B13</x:f>
        <x:v>OR-009</x:v>
      </x:c>
      <x:c r="B13" s="13" t="str">
        <x:f>'逐题结果'!C13</x:f>
        <x:v>TP</x:v>
      </x:c>
      <x:c r="C13" s="10" t="n">
        <x:f>'逐题结果'!L13</x:f>
        <x:v>238781.5119</x:v>
      </x:c>
      <x:c r="D13" s="13" t="str">
        <x:f>'逐题结果'!D13</x:f>
        <x:v>TP</x:v>
      </x:c>
      <x:c r="E13" s="13" t="str">
        <x:f>'逐题结果'!E13</x:f>
        <x:v>TP</x:v>
      </x:c>
      <x:c r="F13" s="13" t="n">
        <x:f>'逐题结果'!I13</x:f>
        <x:v>1</x:v>
      </x:c>
      <x:c r="G13" s="13" t="n">
        <x:f>'逐题结果'!J13</x:f>
        <x:v>1</x:v>
      </x:c>
      <x:c r="H13" s="10" t="n">
        <x:f>IF(F13=1,'逐题结果'!K13,"")</x:f>
        <x:v>238781.5119254966</x:v>
      </x:c>
      <x:c r="I13" s="13" t="str">
        <x:f>'逐题结果'!D114</x:f>
        <x:v>Others</x:v>
      </x:c>
      <x:c r="J13" s="13" t="str">
        <x:f>'逐题结果'!E114</x:f>
        <x:v>Others</x:v>
      </x:c>
      <x:c r="K13" s="13" t="n">
        <x:f>'逐题结果'!I114</x:f>
        <x:v>1</x:v>
      </x:c>
      <x:c r="L13" s="13" t="n">
        <x:f>'逐题结果'!J114</x:f>
        <x:v>1</x:v>
      </x:c>
      <x:c r="M13" s="10" t="n">
        <x:f>IF(K13=1,'逐题结果'!K114,"")</x:f>
        <x:v>238781.5119254966</x:v>
      </x:c>
      <x:c r="N13" s="13" t="str">
        <x:f>IF(G13=1,IF(L13=1,"两组均匹配","实验2丢失匹配"),IF(L13=1,"实验2新增匹配","两组均不匹配"))</x:f>
        <x:v>两组均匹配</x:v>
      </x:c>
      <x:c r="O13" s="2"/>
      <x:c r="P13" s="2"/>
    </x:row>
    <x:row r="14" ht="23" customHeight="1">
      <x:c r="A14" s="13" t="str">
        <x:f>'逐题结果'!B14</x:f>
        <x:v>OR-010</x:v>
      </x:c>
      <x:c r="B14" s="13" t="str">
        <x:f>'逐题结果'!C14</x:f>
        <x:v>NRM</x:v>
      </x:c>
      <x:c r="C14" s="10" t="n">
        <x:f>'逐题结果'!L14</x:f>
        <x:v>4003445.21</x:v>
      </x:c>
      <x:c r="D14" s="13" t="str">
        <x:f>'逐题结果'!D14</x:f>
        <x:v>NRM</x:v>
      </x:c>
      <x:c r="E14" s="13" t="str">
        <x:f>'逐题结果'!E14</x:f>
        <x:v>NRM</x:v>
      </x:c>
      <x:c r="F14" s="13" t="n">
        <x:f>'逐题结果'!I14</x:f>
        <x:v>0</x:v>
      </x:c>
      <x:c r="G14" s="13" t="n">
        <x:f>'逐题结果'!J14</x:f>
        <x:v>0</x:v>
      </x:c>
      <x:c r="H14" s="10" t="str">
        <x:f>IF(F14=1,'逐题结果'!K14,"")</x:f>
      </x:c>
      <x:c r="I14" s="13" t="str">
        <x:f>'逐题结果'!D115</x:f>
        <x:v>RA</x:v>
      </x:c>
      <x:c r="J14" s="13" t="str">
        <x:f>'逐题结果'!E115</x:f>
        <x:v>RA</x:v>
      </x:c>
      <x:c r="K14" s="13" t="n">
        <x:f>'逐题结果'!I115</x:f>
        <x:v>0</x:v>
      </x:c>
      <x:c r="L14" s="13" t="n">
        <x:f>'逐题结果'!J115</x:f>
        <x:v>0</x:v>
      </x:c>
      <x:c r="M14" s="10" t="str">
        <x:f>IF(K14=1,'逐题结果'!K115,"")</x:f>
      </x:c>
      <x:c r="N14" s="13" t="str">
        <x:f>IF(G14=1,IF(L14=1,"两组均匹配","实验2丢失匹配"),IF(L14=1,"实验2新增匹配","两组均不匹配"))</x:f>
        <x:v>两组均不匹配</x:v>
      </x:c>
      <x:c r="O14" s="2" t="str">
        <x:v>ModelOutputTruncated</x:v>
      </x:c>
      <x:c r="P14" s="2" t="str">
        <x:v>ValueError</x:v>
      </x:c>
    </x:row>
    <x:row r="15" ht="23" customHeight="1">
      <x:c r="A15" s="13" t="str">
        <x:f>'逐题结果'!B15</x:f>
        <x:v>OR-011</x:v>
      </x:c>
      <x:c r="B15" s="13" t="str">
        <x:f>'逐题结果'!C15</x:f>
        <x:v>NRM</x:v>
      </x:c>
      <x:c r="C15" s="10" t="n">
        <x:f>'逐题结果'!L15</x:f>
        <x:v>3552260.54</x:v>
      </x:c>
      <x:c r="D15" s="13" t="str">
        <x:f>'逐题结果'!D15</x:f>
        <x:v>NRM</x:v>
      </x:c>
      <x:c r="E15" s="13" t="str">
        <x:f>'逐题结果'!E15</x:f>
        <x:v>NRM</x:v>
      </x:c>
      <x:c r="F15" s="13" t="n">
        <x:f>'逐题结果'!I15</x:f>
        <x:v>0</x:v>
      </x:c>
      <x:c r="G15" s="13" t="n">
        <x:f>'逐题结果'!J15</x:f>
        <x:v>0</x:v>
      </x:c>
      <x:c r="H15" s="10" t="str">
        <x:f>IF(F15=1,'逐题结果'!K15,"")</x:f>
      </x:c>
      <x:c r="I15" s="13" t="str">
        <x:f>'逐题结果'!D116</x:f>
        <x:v>RA</x:v>
      </x:c>
      <x:c r="J15" s="13" t="str">
        <x:f>'逐题结果'!E116</x:f>
        <x:v>RA</x:v>
      </x:c>
      <x:c r="K15" s="13" t="n">
        <x:f>'逐题结果'!I116</x:f>
        <x:v>1</x:v>
      </x:c>
      <x:c r="L15" s="13" t="n">
        <x:f>'逐题结果'!J116</x:f>
        <x:v>1</x:v>
      </x:c>
      <x:c r="M15" s="10" t="n">
        <x:f>IF(K15=1,'逐题结果'!K116,"")</x:f>
        <x:v>3552260.54</x:v>
      </x:c>
      <x:c r="N15" s="13" t="str">
        <x:f>IF(G15=1,IF(L15=1,"两组均匹配","实验2丢失匹配"),IF(L15=1,"实验2新增匹配","两组均不匹配"))</x:f>
        <x:v>实验2新增匹配</x:v>
      </x:c>
      <x:c r="O15" s="2" t="str">
        <x:v>TypeError</x:v>
      </x:c>
      <x:c r="P15" s="2"/>
    </x:row>
    <x:row r="16" ht="23" customHeight="1">
      <x:c r="A16" s="13" t="str">
        <x:f>'逐题结果'!B16</x:f>
        <x:v>OR-012</x:v>
      </x:c>
      <x:c r="B16" s="13" t="str">
        <x:f>'逐题结果'!C16</x:f>
        <x:v>NRM</x:v>
      </x:c>
      <x:c r="C16" s="10" t="n">
        <x:f>'逐题结果'!L16</x:f>
        <x:v>83748.37</x:v>
      </x:c>
      <x:c r="D16" s="13" t="str">
        <x:f>'逐题结果'!D16</x:f>
        <x:v>NRM</x:v>
      </x:c>
      <x:c r="E16" s="13" t="str">
        <x:f>'逐题结果'!E16</x:f>
        <x:v>NRM</x:v>
      </x:c>
      <x:c r="F16" s="13" t="n">
        <x:f>'逐题结果'!I16</x:f>
        <x:v>1</x:v>
      </x:c>
      <x:c r="G16" s="13" t="n">
        <x:f>'逐题结果'!J16</x:f>
        <x:v>1</x:v>
      </x:c>
      <x:c r="H16" s="10" t="n">
        <x:f>IF(F16=1,'逐题结果'!K16,"")</x:f>
        <x:v>83748.37000000001</x:v>
      </x:c>
      <x:c r="I16" s="13" t="str">
        <x:f>'逐题结果'!D117</x:f>
        <x:v>RA</x:v>
      </x:c>
      <x:c r="J16" s="13" t="str">
        <x:f>'逐题结果'!E117</x:f>
        <x:v>RA</x:v>
      </x:c>
      <x:c r="K16" s="13" t="n">
        <x:f>'逐题结果'!I117</x:f>
        <x:v>1</x:v>
      </x:c>
      <x:c r="L16" s="13" t="n">
        <x:f>'逐题结果'!J117</x:f>
        <x:v>1</x:v>
      </x:c>
      <x:c r="M16" s="10" t="n">
        <x:f>IF(K16=1,'逐题结果'!K117,"")</x:f>
        <x:v>83748.37000000001</x:v>
      </x:c>
      <x:c r="N16" s="13" t="str">
        <x:f>IF(G16=1,IF(L16=1,"两组均匹配","实验2丢失匹配"),IF(L16=1,"实验2新增匹配","两组均不匹配"))</x:f>
        <x:v>两组均匹配</x:v>
      </x:c>
      <x:c r="O16" s="2"/>
      <x:c r="P16" s="2"/>
    </x:row>
    <x:row r="17" ht="23" customHeight="1">
      <x:c r="A17" s="13" t="str">
        <x:f>'逐题结果'!B17</x:f>
        <x:v>OR-013</x:v>
      </x:c>
      <x:c r="B17" s="13" t="str">
        <x:f>'逐题结果'!C17</x:f>
        <x:v>NRM</x:v>
      </x:c>
      <x:c r="C17" s="10" t="n">
        <x:f>'逐题结果'!L17</x:f>
        <x:v>532.3</x:v>
      </x:c>
      <x:c r="D17" s="13" t="str">
        <x:f>'逐题结果'!D17</x:f>
        <x:v>NRM</x:v>
      </x:c>
      <x:c r="E17" s="13" t="str">
        <x:f>'逐题结果'!E17</x:f>
        <x:v>NRM</x:v>
      </x:c>
      <x:c r="F17" s="13" t="n">
        <x:f>'逐题结果'!I17</x:f>
        <x:v>0</x:v>
      </x:c>
      <x:c r="G17" s="13" t="n">
        <x:f>'逐题结果'!J17</x:f>
        <x:v>0</x:v>
      </x:c>
      <x:c r="H17" s="10" t="str">
        <x:f>IF(F17=1,'逐题结果'!K17,"")</x:f>
      </x:c>
      <x:c r="I17" s="13" t="str">
        <x:f>'逐题结果'!D118</x:f>
        <x:v>RA</x:v>
      </x:c>
      <x:c r="J17" s="13" t="str">
        <x:f>'逐题结果'!E118</x:f>
        <x:v>RA</x:v>
      </x:c>
      <x:c r="K17" s="13" t="n">
        <x:f>'逐题结果'!I118</x:f>
        <x:v>0</x:v>
      </x:c>
      <x:c r="L17" s="13" t="n">
        <x:f>'逐题结果'!J118</x:f>
        <x:v>0</x:v>
      </x:c>
      <x:c r="M17" s="10" t="str">
        <x:f>IF(K17=1,'逐题结果'!K118,"")</x:f>
      </x:c>
      <x:c r="N17" s="13" t="str">
        <x:f>IF(G17=1,IF(L17=1,"两组均匹配","实验2丢失匹配"),IF(L17=1,"实验2新增匹配","两组均不匹配"))</x:f>
        <x:v>两组均不匹配</x:v>
      </x:c>
      <x:c r="O17" s="2" t="str">
        <x:v>ModelOutputTruncated</x:v>
      </x:c>
      <x:c r="P17" s="2" t="str">
        <x:v>BadRequestError</x:v>
      </x:c>
    </x:row>
    <x:row r="18" ht="23" customHeight="1">
      <x:c r="A18" s="13" t="str">
        <x:f>'逐题结果'!B18</x:f>
        <x:v>OR-014</x:v>
      </x:c>
      <x:c r="B18" s="13" t="str">
        <x:f>'逐题结果'!C18</x:f>
        <x:v>NRM</x:v>
      </x:c>
      <x:c r="C18" s="10" t="n">
        <x:f>'逐题结果'!L18</x:f>
        <x:v>1794269</x:v>
      </x:c>
      <x:c r="D18" s="13" t="str">
        <x:f>'逐题结果'!D18</x:f>
        <x:v>NRM</x:v>
      </x:c>
      <x:c r="E18" s="13" t="str">
        <x:f>'逐题结果'!E18</x:f>
        <x:v>NRM</x:v>
      </x:c>
      <x:c r="F18" s="13" t="n">
        <x:f>'逐题结果'!I18</x:f>
        <x:v>1</x:v>
      </x:c>
      <x:c r="G18" s="13" t="n">
        <x:f>'逐题结果'!J18</x:f>
        <x:v>1</x:v>
      </x:c>
      <x:c r="H18" s="10" t="n">
        <x:f>IF(F18=1,'逐题结果'!K18,"")</x:f>
        <x:v>1794269</x:v>
      </x:c>
      <x:c r="I18" s="13" t="str">
        <x:f>'逐题结果'!D119</x:f>
        <x:v>RA</x:v>
      </x:c>
      <x:c r="J18" s="13" t="str">
        <x:f>'逐题结果'!E119</x:f>
        <x:v>RA</x:v>
      </x:c>
      <x:c r="K18" s="13" t="n">
        <x:f>'逐题结果'!I119</x:f>
        <x:v>0</x:v>
      </x:c>
      <x:c r="L18" s="13" t="n">
        <x:f>'逐题结果'!J119</x:f>
        <x:v>0</x:v>
      </x:c>
      <x:c r="M18" s="10" t="str">
        <x:f>IF(K18=1,'逐题结果'!K119,"")</x:f>
      </x:c>
      <x:c r="N18" s="13" t="str">
        <x:f>IF(G18=1,IF(L18=1,"两组均匹配","实验2丢失匹配"),IF(L18=1,"实验2新增匹配","两组均不匹配"))</x:f>
        <x:v>实验2丢失匹配</x:v>
      </x:c>
      <x:c r="O18" s="2"/>
      <x:c r="P18" s="2" t="str">
        <x:v>ValueError</x:v>
      </x:c>
    </x:row>
    <x:row r="19" ht="23" customHeight="1">
      <x:c r="A19" s="13" t="str">
        <x:f>'逐题结果'!B19</x:f>
        <x:v>OR-015</x:v>
      </x:c>
      <x:c r="B19" s="13" t="str">
        <x:f>'逐题结果'!C19</x:f>
        <x:v>NRM</x:v>
      </x:c>
      <x:c r="C19" s="10" t="n">
        <x:f>'逐题结果'!L19</x:f>
        <x:v>29660</x:v>
      </x:c>
      <x:c r="D19" s="13" t="str">
        <x:f>'逐题结果'!D19</x:f>
        <x:v>NRM</x:v>
      </x:c>
      <x:c r="E19" s="13" t="str">
        <x:f>'逐题结果'!E19</x:f>
        <x:v>NRM</x:v>
      </x:c>
      <x:c r="F19" s="13" t="n">
        <x:f>'逐题结果'!I19</x:f>
        <x:v>1</x:v>
      </x:c>
      <x:c r="G19" s="13" t="n">
        <x:f>'逐题结果'!J19</x:f>
        <x:v>1</x:v>
      </x:c>
      <x:c r="H19" s="10" t="n">
        <x:f>IF(F19=1,'逐题结果'!K19,"")</x:f>
        <x:v>29660</x:v>
      </x:c>
      <x:c r="I19" s="13" t="str">
        <x:f>'逐题结果'!D120</x:f>
        <x:v>RA</x:v>
      </x:c>
      <x:c r="J19" s="13" t="str">
        <x:f>'逐题结果'!E120</x:f>
        <x:v>RA</x:v>
      </x:c>
      <x:c r="K19" s="13" t="n">
        <x:f>'逐题结果'!I120</x:f>
        <x:v>1</x:v>
      </x:c>
      <x:c r="L19" s="13" t="n">
        <x:f>'逐题结果'!J120</x:f>
        <x:v>1</x:v>
      </x:c>
      <x:c r="M19" s="10" t="n">
        <x:f>IF(K19=1,'逐题结果'!K120,"")</x:f>
        <x:v>29660</x:v>
      </x:c>
      <x:c r="N19" s="13" t="str">
        <x:f>IF(G19=1,IF(L19=1,"两组均匹配","实验2丢失匹配"),IF(L19=1,"实验2新增匹配","两组均不匹配"))</x:f>
        <x:v>两组均匹配</x:v>
      </x:c>
      <x:c r="O19" s="2"/>
      <x:c r="P19" s="2"/>
    </x:row>
    <x:row r="20" ht="23" customHeight="1">
      <x:c r="A20" s="13" t="str">
        <x:f>'逐题结果'!B20</x:f>
        <x:v>OR-016</x:v>
      </x:c>
      <x:c r="B20" s="13" t="str">
        <x:f>'逐题结果'!C20</x:f>
        <x:v>NRM</x:v>
      </x:c>
      <x:c r="C20" s="10" t="n">
        <x:f>'逐题结果'!L20</x:f>
        <x:v>1568955</x:v>
      </x:c>
      <x:c r="D20" s="13" t="str">
        <x:f>'逐题结果'!D20</x:f>
        <x:v>NRM</x:v>
      </x:c>
      <x:c r="E20" s="13" t="str">
        <x:f>'逐题结果'!E20</x:f>
        <x:v>NRM</x:v>
      </x:c>
      <x:c r="F20" s="13" t="n">
        <x:f>'逐题结果'!I20</x:f>
        <x:v>0</x:v>
      </x:c>
      <x:c r="G20" s="13" t="n">
        <x:f>'逐题结果'!J20</x:f>
        <x:v>0</x:v>
      </x:c>
      <x:c r="H20" s="10" t="str">
        <x:f>IF(F20=1,'逐题结果'!K20,"")</x:f>
      </x:c>
      <x:c r="I20" s="13" t="str">
        <x:f>'逐题结果'!D121</x:f>
        <x:v>RA</x:v>
      </x:c>
      <x:c r="J20" s="13" t="str">
        <x:f>'逐题结果'!E121</x:f>
        <x:v>RA</x:v>
      </x:c>
      <x:c r="K20" s="13" t="n">
        <x:f>'逐题结果'!I121</x:f>
        <x:v>1</x:v>
      </x:c>
      <x:c r="L20" s="13" t="n">
        <x:f>'逐题结果'!J121</x:f>
        <x:v>1</x:v>
      </x:c>
      <x:c r="M20" s="10" t="n">
        <x:f>IF(K20=1,'逐题结果'!K121,"")</x:f>
        <x:v>1568955</x:v>
      </x:c>
      <x:c r="N20" s="13" t="str">
        <x:f>IF(G20=1,IF(L20=1,"两组均匹配","实验2丢失匹配"),IF(L20=1,"实验2新增匹配","两组均不匹配"))</x:f>
        <x:v>实验2新增匹配</x:v>
      </x:c>
      <x:c r="O20" s="2" t="str">
        <x:v>TypeError</x:v>
      </x:c>
      <x:c r="P20" s="2"/>
    </x:row>
    <x:row r="21" ht="23" customHeight="1">
      <x:c r="A21" s="13" t="str">
        <x:f>'逐题结果'!B21</x:f>
        <x:v>OR-017</x:v>
      </x:c>
      <x:c r="B21" s="13" t="str">
        <x:f>'逐题结果'!C21</x:f>
        <x:v>NRM</x:v>
      </x:c>
      <x:c r="C21" s="10" t="n">
        <x:f>'逐题结果'!L21</x:f>
        <x:v>2015.08</x:v>
      </x:c>
      <x:c r="D21" s="13" t="str">
        <x:f>'逐题结果'!D21</x:f>
        <x:v>NRM</x:v>
      </x:c>
      <x:c r="E21" s="13" t="str">
        <x:f>'逐题结果'!E21</x:f>
        <x:v>NRM</x:v>
      </x:c>
      <x:c r="F21" s="13" t="n">
        <x:f>'逐题结果'!I21</x:f>
        <x:v>0</x:v>
      </x:c>
      <x:c r="G21" s="13" t="n">
        <x:f>'逐题结果'!J21</x:f>
        <x:v>0</x:v>
      </x:c>
      <x:c r="H21" s="10" t="str">
        <x:f>IF(F21=1,'逐题结果'!K21,"")</x:f>
      </x:c>
      <x:c r="I21" s="13" t="str">
        <x:f>'逐题结果'!D122</x:f>
        <x:v>RA</x:v>
      </x:c>
      <x:c r="J21" s="13" t="str">
        <x:f>'逐题结果'!E122</x:f>
        <x:v>RA</x:v>
      </x:c>
      <x:c r="K21" s="13" t="n">
        <x:f>'逐题结果'!I122</x:f>
        <x:v>1</x:v>
      </x:c>
      <x:c r="L21" s="13" t="n">
        <x:f>'逐题结果'!J122</x:f>
        <x:v>1</x:v>
      </x:c>
      <x:c r="M21" s="10" t="n">
        <x:f>IF(K21=1,'逐题结果'!K122,"")</x:f>
        <x:v>2015.08</x:v>
      </x:c>
      <x:c r="N21" s="13" t="str">
        <x:f>IF(G21=1,IF(L21=1,"两组均匹配","实验2丢失匹配"),IF(L21=1,"实验2新增匹配","两组均不匹配"))</x:f>
        <x:v>实验2新增匹配</x:v>
      </x:c>
      <x:c r="O21" s="2" t="str">
        <x:v>TypeError</x:v>
      </x:c>
      <x:c r="P21" s="2"/>
    </x:row>
    <x:row r="22" ht="23" customHeight="1">
      <x:c r="A22" s="13" t="str">
        <x:f>'逐题结果'!B22</x:f>
        <x:v>OR-018</x:v>
      </x:c>
      <x:c r="B22" s="13" t="str">
        <x:f>'逐题结果'!C22</x:f>
        <x:v>NRM</x:v>
      </x:c>
      <x:c r="C22" s="10" t="n">
        <x:f>'逐题结果'!L22</x:f>
        <x:v>782819438.6</x:v>
      </x:c>
      <x:c r="D22" s="13" t="str">
        <x:f>'逐题结果'!D22</x:f>
        <x:v>NRM</x:v>
      </x:c>
      <x:c r="E22" s="13" t="str">
        <x:f>'逐题结果'!E22</x:f>
        <x:v>NRM</x:v>
      </x:c>
      <x:c r="F22" s="13" t="n">
        <x:f>'逐题结果'!I22</x:f>
        <x:v>0</x:v>
      </x:c>
      <x:c r="G22" s="13" t="n">
        <x:f>'逐题结果'!J22</x:f>
        <x:v>0</x:v>
      </x:c>
      <x:c r="H22" s="10" t="str">
        <x:f>IF(F22=1,'逐题结果'!K22,"")</x:f>
      </x:c>
      <x:c r="I22" s="13" t="str">
        <x:f>'逐题结果'!D123</x:f>
        <x:v>RA</x:v>
      </x:c>
      <x:c r="J22" s="13" t="str">
        <x:f>'逐题结果'!E123</x:f>
        <x:v>RA</x:v>
      </x:c>
      <x:c r="K22" s="13" t="n">
        <x:f>'逐题结果'!I123</x:f>
        <x:v>1</x:v>
      </x:c>
      <x:c r="L22" s="13" t="n">
        <x:f>'逐题结果'!J123</x:f>
        <x:v>1</x:v>
      </x:c>
      <x:c r="M22" s="10" t="n">
        <x:f>IF(K22=1,'逐题结果'!K123,"")</x:f>
        <x:v>782819438.64</x:v>
      </x:c>
      <x:c r="N22" s="13" t="str">
        <x:f>IF(G22=1,IF(L22=1,"两组均匹配","实验2丢失匹配"),IF(L22=1,"实验2新增匹配","两组均不匹配"))</x:f>
        <x:v>实验2新增匹配</x:v>
      </x:c>
      <x:c r="O22" s="2" t="str">
        <x:v>TypeError</x:v>
      </x:c>
      <x:c r="P22" s="2"/>
    </x:row>
    <x:row r="23" ht="23" customHeight="1">
      <x:c r="A23" s="13" t="str">
        <x:f>'逐题结果'!B23</x:f>
        <x:v>OR-019</x:v>
      </x:c>
      <x:c r="B23" s="13" t="str">
        <x:f>'逐题结果'!C23</x:f>
        <x:v>NRM</x:v>
      </x:c>
      <x:c r="C23" s="10" t="n">
        <x:f>'逐题结果'!L23</x:f>
        <x:v>7123134.69</x:v>
      </x:c>
      <x:c r="D23" s="13" t="str">
        <x:f>'逐题结果'!D23</x:f>
        <x:v>NRM</x:v>
      </x:c>
      <x:c r="E23" s="13" t="str">
        <x:f>'逐题结果'!E23</x:f>
        <x:v>NRM</x:v>
      </x:c>
      <x:c r="F23" s="13" t="n">
        <x:f>'逐题结果'!I23</x:f>
        <x:v>1</x:v>
      </x:c>
      <x:c r="G23" s="13" t="n">
        <x:f>'逐题结果'!J23</x:f>
        <x:v>1</x:v>
      </x:c>
      <x:c r="H23" s="10" t="n">
        <x:f>IF(F23=1,'逐题结果'!K23,"")</x:f>
        <x:v>7123134.6899999995</x:v>
      </x:c>
      <x:c r="I23" s="13" t="str">
        <x:f>'逐题结果'!D124</x:f>
        <x:v>RA</x:v>
      </x:c>
      <x:c r="J23" s="13" t="str">
        <x:f>'逐题结果'!E124</x:f>
        <x:v>RA</x:v>
      </x:c>
      <x:c r="K23" s="13" t="n">
        <x:f>'逐题结果'!I124</x:f>
        <x:v>1</x:v>
      </x:c>
      <x:c r="L23" s="13" t="n">
        <x:f>'逐题结果'!J124</x:f>
        <x:v>1</x:v>
      </x:c>
      <x:c r="M23" s="10" t="n">
        <x:f>IF(K23=1,'逐题结果'!K124,"")</x:f>
        <x:v>7123134.6899999995</x:v>
      </x:c>
      <x:c r="N23" s="13" t="str">
        <x:f>IF(G23=1,IF(L23=1,"两组均匹配","实验2丢失匹配"),IF(L23=1,"实验2新增匹配","两组均不匹配"))</x:f>
        <x:v>两组均匹配</x:v>
      </x:c>
      <x:c r="O23" s="2"/>
      <x:c r="P23" s="2"/>
    </x:row>
    <x:row r="24" ht="23" customHeight="1">
      <x:c r="A24" s="13" t="str">
        <x:f>'逐题结果'!B24</x:f>
        <x:v>OR-020</x:v>
      </x:c>
      <x:c r="B24" s="13" t="str">
        <x:f>'逐题结果'!C24</x:f>
        <x:v>NRM</x:v>
      </x:c>
      <x:c r="C24" s="10" t="n">
        <x:f>'逐题结果'!L24</x:f>
        <x:v>11258129.67</x:v>
      </x:c>
      <x:c r="D24" s="13" t="str">
        <x:f>'逐题结果'!D24</x:f>
        <x:v>NRM</x:v>
      </x:c>
      <x:c r="E24" s="13" t="str">
        <x:f>'逐题结果'!E24</x:f>
        <x:v>NRM</x:v>
      </x:c>
      <x:c r="F24" s="13" t="n">
        <x:f>'逐题结果'!I24</x:f>
        <x:v>0</x:v>
      </x:c>
      <x:c r="G24" s="13" t="n">
        <x:f>'逐题结果'!J24</x:f>
        <x:v>0</x:v>
      </x:c>
      <x:c r="H24" s="10" t="str">
        <x:f>IF(F24=1,'逐题结果'!K24,"")</x:f>
      </x:c>
      <x:c r="I24" s="13" t="str">
        <x:f>'逐题结果'!D125</x:f>
        <x:v>RA</x:v>
      </x:c>
      <x:c r="J24" s="13" t="str">
        <x:f>'逐题结果'!E125</x:f>
        <x:v>RA</x:v>
      </x:c>
      <x:c r="K24" s="13" t="n">
        <x:f>'逐题结果'!I125</x:f>
        <x:v>1</x:v>
      </x:c>
      <x:c r="L24" s="13" t="n">
        <x:f>'逐题结果'!J125</x:f>
        <x:v>1</x:v>
      </x:c>
      <x:c r="M24" s="10" t="n">
        <x:f>IF(K24=1,'逐题结果'!K125,"")</x:f>
        <x:v>11258129.67</x:v>
      </x:c>
      <x:c r="N24" s="13" t="str">
        <x:f>IF(G24=1,IF(L24=1,"两组均匹配","实验2丢失匹配"),IF(L24=1,"实验2新增匹配","两组均不匹配"))</x:f>
        <x:v>实验2新增匹配</x:v>
      </x:c>
      <x:c r="O24" s="2" t="str">
        <x:v>ModelOutputTruncated</x:v>
      </x:c>
      <x:c r="P24" s="2"/>
    </x:row>
    <x:row r="25" ht="23" customHeight="1">
      <x:c r="A25" s="13" t="str">
        <x:f>'逐题结果'!B25</x:f>
        <x:v>OR-021</x:v>
      </x:c>
      <x:c r="B25" s="13" t="str">
        <x:f>'逐题结果'!C25</x:f>
        <x:v>NRM</x:v>
      </x:c>
      <x:c r="C25" s="10" t="n">
        <x:f>'逐题结果'!L25</x:f>
        <x:v>6020981.48</x:v>
      </x:c>
      <x:c r="D25" s="13" t="str">
        <x:f>'逐题结果'!D25</x:f>
        <x:v>NRM</x:v>
      </x:c>
      <x:c r="E25" s="13" t="str">
        <x:f>'逐题结果'!E25</x:f>
        <x:v>NRM</x:v>
      </x:c>
      <x:c r="F25" s="13" t="n">
        <x:f>'逐题结果'!I25</x:f>
        <x:v>0</x:v>
      </x:c>
      <x:c r="G25" s="13" t="n">
        <x:f>'逐题结果'!J25</x:f>
        <x:v>0</x:v>
      </x:c>
      <x:c r="H25" s="10" t="str">
        <x:f>IF(F25=1,'逐题结果'!K25,"")</x:f>
      </x:c>
      <x:c r="I25" s="13" t="str">
        <x:f>'逐题结果'!D126</x:f>
        <x:v>RA</x:v>
      </x:c>
      <x:c r="J25" s="13" t="str">
        <x:f>'逐题结果'!E126</x:f>
        <x:v>RA</x:v>
      </x:c>
      <x:c r="K25" s="13" t="n">
        <x:f>'逐题结果'!I126</x:f>
        <x:v>0</x:v>
      </x:c>
      <x:c r="L25" s="13" t="n">
        <x:f>'逐题结果'!J126</x:f>
        <x:v>0</x:v>
      </x:c>
      <x:c r="M25" s="10" t="str">
        <x:f>IF(K25=1,'逐题结果'!K126,"")</x:f>
      </x:c>
      <x:c r="N25" s="13" t="str">
        <x:f>IF(G25=1,IF(L25=1,"两组均匹配","实验2丢失匹配"),IF(L25=1,"实验2新增匹配","两组均不匹配"))</x:f>
        <x:v>两组均不匹配</x:v>
      </x:c>
      <x:c r="O25" s="2" t="str">
        <x:v>ModelOutputTruncated</x:v>
      </x:c>
      <x:c r="P25" s="2" t="str">
        <x:v>ValueError</x:v>
      </x:c>
    </x:row>
    <x:row r="26" ht="23" customHeight="1">
      <x:c r="A26" s="13" t="str">
        <x:f>'逐题结果'!B26</x:f>
        <x:v>OR-022</x:v>
      </x:c>
      <x:c r="B26" s="13" t="str">
        <x:f>'逐题结果'!C26</x:f>
        <x:v>NRM</x:v>
      </x:c>
      <x:c r="C26" s="10" t="n">
        <x:f>'逐题结果'!L26</x:f>
        <x:v>4049812.425</x:v>
      </x:c>
      <x:c r="D26" s="13" t="str">
        <x:f>'逐题结果'!D26</x:f>
        <x:v>NRM</x:v>
      </x:c>
      <x:c r="E26" s="13" t="str">
        <x:f>'逐题结果'!E26</x:f>
        <x:v>NRM</x:v>
      </x:c>
      <x:c r="F26" s="13" t="n">
        <x:f>'逐题结果'!I26</x:f>
        <x:v>0</x:v>
      </x:c>
      <x:c r="G26" s="13" t="n">
        <x:f>'逐题结果'!J26</x:f>
        <x:v>0</x:v>
      </x:c>
      <x:c r="H26" s="10" t="str">
        <x:f>IF(F26=1,'逐题结果'!K26,"")</x:f>
      </x:c>
      <x:c r="I26" s="13" t="str">
        <x:f>'逐题结果'!D127</x:f>
        <x:v>RA</x:v>
      </x:c>
      <x:c r="J26" s="13" t="str">
        <x:f>'逐题结果'!E127</x:f>
        <x:v>RA</x:v>
      </x:c>
      <x:c r="K26" s="13" t="n">
        <x:f>'逐题结果'!I127</x:f>
        <x:v>1</x:v>
      </x:c>
      <x:c r="L26" s="13" t="n">
        <x:f>'逐题结果'!J127</x:f>
        <x:v>1</x:v>
      </x:c>
      <x:c r="M26" s="10" t="n">
        <x:f>IF(K26=1,'逐题结果'!K127,"")</x:f>
        <x:v>4049812.4247</x:v>
      </x:c>
      <x:c r="N26" s="13" t="str">
        <x:f>IF(G26=1,IF(L26=1,"两组均匹配","实验2丢失匹配"),IF(L26=1,"实验2新增匹配","两组均不匹配"))</x:f>
        <x:v>实验2新增匹配</x:v>
      </x:c>
      <x:c r="O26" s="2" t="str">
        <x:v>TypeError</x:v>
      </x:c>
      <x:c r="P26" s="2"/>
    </x:row>
    <x:row r="27" ht="23" customHeight="1">
      <x:c r="A27" s="13" t="str">
        <x:f>'逐题结果'!B27</x:f>
        <x:v>OR-023</x:v>
      </x:c>
      <x:c r="B27" s="13" t="str">
        <x:f>'逐题结果'!C27</x:f>
        <x:v>NRM</x:v>
      </x:c>
      <x:c r="C27" s="10" t="n">
        <x:f>'逐题结果'!L27</x:f>
        <x:v>63628</x:v>
      </x:c>
      <x:c r="D27" s="13" t="str">
        <x:f>'逐题结果'!D27</x:f>
        <x:v>NRM</x:v>
      </x:c>
      <x:c r="E27" s="13" t="str">
        <x:f>'逐题结果'!E27</x:f>
        <x:v>NRM</x:v>
      </x:c>
      <x:c r="F27" s="13" t="n">
        <x:f>'逐题结果'!I27</x:f>
        <x:v>1</x:v>
      </x:c>
      <x:c r="G27" s="13" t="n">
        <x:f>'逐题结果'!J27</x:f>
        <x:v>1</x:v>
      </x:c>
      <x:c r="H27" s="10" t="n">
        <x:f>IF(F27=1,'逐题结果'!K27,"")</x:f>
        <x:v>63628</x:v>
      </x:c>
      <x:c r="I27" s="13" t="str">
        <x:f>'逐题结果'!D128</x:f>
        <x:v>RA</x:v>
      </x:c>
      <x:c r="J27" s="13" t="str">
        <x:f>'逐题结果'!E128</x:f>
        <x:v>RA</x:v>
      </x:c>
      <x:c r="K27" s="13" t="n">
        <x:f>'逐题结果'!I128</x:f>
        <x:v>1</x:v>
      </x:c>
      <x:c r="L27" s="13" t="n">
        <x:f>'逐题结果'!J128</x:f>
        <x:v>0</x:v>
      </x:c>
      <x:c r="M27" s="10" t="n">
        <x:f>IF(K27=1,'逐题结果'!K128,"")</x:f>
        <x:v>61648</x:v>
      </x:c>
      <x:c r="N27" s="13" t="str">
        <x:f>IF(G27=1,IF(L27=1,"两组均匹配","实验2丢失匹配"),IF(L27=1,"实验2新增匹配","两组均不匹配"))</x:f>
        <x:v>实验2丢失匹配</x:v>
      </x:c>
      <x:c r="O27" s="2"/>
      <x:c r="P27" s="2"/>
    </x:row>
    <x:row r="28" ht="23" customHeight="1">
      <x:c r="A28" s="13" t="str">
        <x:f>'逐题结果'!B28</x:f>
        <x:v>OR-024</x:v>
      </x:c>
      <x:c r="B28" s="13" t="str">
        <x:f>'逐题结果'!C28</x:f>
        <x:v>NRM</x:v>
      </x:c>
      <x:c r="C28" s="10" t="n">
        <x:f>'逐题结果'!L28</x:f>
        <x:v>1264095.5</x:v>
      </x:c>
      <x:c r="D28" s="13" t="str">
        <x:f>'逐题结果'!D28</x:f>
        <x:v>NRM</x:v>
      </x:c>
      <x:c r="E28" s="13" t="str">
        <x:f>'逐题结果'!E28</x:f>
        <x:v>NRM</x:v>
      </x:c>
      <x:c r="F28" s="13" t="n">
        <x:f>'逐题结果'!I28</x:f>
        <x:v>0</x:v>
      </x:c>
      <x:c r="G28" s="13" t="n">
        <x:f>'逐题结果'!J28</x:f>
        <x:v>0</x:v>
      </x:c>
      <x:c r="H28" s="10" t="str">
        <x:f>IF(F28=1,'逐题结果'!K28,"")</x:f>
      </x:c>
      <x:c r="I28" s="13" t="str">
        <x:f>'逐题结果'!D129</x:f>
        <x:v>RA</x:v>
      </x:c>
      <x:c r="J28" s="13" t="str">
        <x:f>'逐题结果'!E129</x:f>
        <x:v>RA</x:v>
      </x:c>
      <x:c r="K28" s="13" t="n">
        <x:f>'逐题结果'!I129</x:f>
        <x:v>1</x:v>
      </x:c>
      <x:c r="L28" s="13" t="n">
        <x:f>'逐题结果'!J129</x:f>
        <x:v>1</x:v>
      </x:c>
      <x:c r="M28" s="10" t="n">
        <x:f>IF(K28=1,'逐题结果'!K129,"")</x:f>
        <x:v>1264095.5</x:v>
      </x:c>
      <x:c r="N28" s="13" t="str">
        <x:f>IF(G28=1,IF(L28=1,"两组均匹配","实验2丢失匹配"),IF(L28=1,"实验2新增匹配","两组均不匹配"))</x:f>
        <x:v>实验2新增匹配</x:v>
      </x:c>
      <x:c r="O28" s="2" t="str">
        <x:v>TypeError</x:v>
      </x:c>
      <x:c r="P28" s="2"/>
    </x:row>
    <x:row r="29" ht="23" customHeight="1">
      <x:c r="A29" s="13" t="str">
        <x:f>'逐题结果'!B29</x:f>
        <x:v>OR-025</x:v>
      </x:c>
      <x:c r="B29" s="13" t="str">
        <x:f>'逐题结果'!C29</x:f>
        <x:v>NRM</x:v>
      </x:c>
      <x:c r="C29" s="10" t="n">
        <x:f>'逐题结果'!L29</x:f>
        <x:v>5486959.83</x:v>
      </x:c>
      <x:c r="D29" s="13" t="str">
        <x:f>'逐题结果'!D29</x:f>
        <x:v>NRM</x:v>
      </x:c>
      <x:c r="E29" s="13" t="str">
        <x:f>'逐题结果'!E29</x:f>
        <x:v>NRM</x:v>
      </x:c>
      <x:c r="F29" s="13" t="n">
        <x:f>'逐题结果'!I29</x:f>
        <x:v>1</x:v>
      </x:c>
      <x:c r="G29" s="13" t="n">
        <x:f>'逐题结果'!J29</x:f>
        <x:v>1</x:v>
      </x:c>
      <x:c r="H29" s="10" t="n">
        <x:f>IF(F29=1,'逐题结果'!K29,"")</x:f>
        <x:v>5486959.829999999</x:v>
      </x:c>
      <x:c r="I29" s="13" t="str">
        <x:f>'逐题结果'!D130</x:f>
        <x:v>RA</x:v>
      </x:c>
      <x:c r="J29" s="13" t="str">
        <x:f>'逐题结果'!E130</x:f>
        <x:v>RA</x:v>
      </x:c>
      <x:c r="K29" s="13" t="n">
        <x:f>'逐题结果'!I130</x:f>
        <x:v>1</x:v>
      </x:c>
      <x:c r="L29" s="13" t="n">
        <x:f>'逐题结果'!J130</x:f>
        <x:v>1</x:v>
      </x:c>
      <x:c r="M29" s="10" t="n">
        <x:f>IF(K29=1,'逐题结果'!K130,"")</x:f>
        <x:v>5486959.829999999</x:v>
      </x:c>
      <x:c r="N29" s="13" t="str">
        <x:f>IF(G29=1,IF(L29=1,"两组均匹配","实验2丢失匹配"),IF(L29=1,"实验2新增匹配","两组均不匹配"))</x:f>
        <x:v>两组均匹配</x:v>
      </x:c>
      <x:c r="O29" s="2"/>
      <x:c r="P29" s="2"/>
    </x:row>
    <x:row r="30" ht="23" customHeight="1">
      <x:c r="A30" s="13" t="str">
        <x:f>'逐题结果'!B30</x:f>
        <x:v>OR-026</x:v>
      </x:c>
      <x:c r="B30" s="13" t="str">
        <x:f>'逐题结果'!C30</x:f>
        <x:v>NRM</x:v>
      </x:c>
      <x:c r="C30" s="10" t="n">
        <x:f>'逐题结果'!L30</x:f>
        <x:v>8851.75</x:v>
      </x:c>
      <x:c r="D30" s="13" t="str">
        <x:f>'逐题结果'!D30</x:f>
        <x:v>NRM</x:v>
      </x:c>
      <x:c r="E30" s="13" t="str">
        <x:f>'逐题结果'!E30</x:f>
        <x:v>NRM</x:v>
      </x:c>
      <x:c r="F30" s="13" t="n">
        <x:f>'逐题结果'!I30</x:f>
        <x:v>0</x:v>
      </x:c>
      <x:c r="G30" s="13" t="n">
        <x:f>'逐题结果'!J30</x:f>
        <x:v>0</x:v>
      </x:c>
      <x:c r="H30" s="10" t="str">
        <x:f>IF(F30=1,'逐题结果'!K30,"")</x:f>
      </x:c>
      <x:c r="I30" s="13" t="str">
        <x:f>'逐题结果'!D131</x:f>
        <x:v>RA</x:v>
      </x:c>
      <x:c r="J30" s="13" t="str">
        <x:f>'逐题结果'!E131</x:f>
        <x:v>RA</x:v>
      </x:c>
      <x:c r="K30" s="13" t="n">
        <x:f>'逐题结果'!I131</x:f>
        <x:v>1</x:v>
      </x:c>
      <x:c r="L30" s="13" t="n">
        <x:f>'逐题结果'!J131</x:f>
        <x:v>1</x:v>
      </x:c>
      <x:c r="M30" s="10" t="n">
        <x:f>IF(K30=1,'逐题结果'!K131,"")</x:f>
        <x:v>8851.75</x:v>
      </x:c>
      <x:c r="N30" s="13" t="str">
        <x:f>IF(G30=1,IF(L30=1,"两组均匹配","实验2丢失匹配"),IF(L30=1,"实验2新增匹配","两组均不匹配"))</x:f>
        <x:v>实验2新增匹配</x:v>
      </x:c>
      <x:c r="O30" s="2" t="str">
        <x:v>TypeError</x:v>
      </x:c>
      <x:c r="P30" s="2"/>
    </x:row>
    <x:row r="31" ht="23" customHeight="1">
      <x:c r="A31" s="13" t="str">
        <x:f>'逐题结果'!B31</x:f>
        <x:v>OR-027</x:v>
      </x:c>
      <x:c r="B31" s="13" t="str">
        <x:f>'逐题结果'!C31</x:f>
        <x:v>NRM</x:v>
      </x:c>
      <x:c r="C31" s="10" t="n">
        <x:f>'逐题结果'!L31</x:f>
        <x:v>784297054.1</x:v>
      </x:c>
      <x:c r="D31" s="13" t="str">
        <x:f>'逐题结果'!D31</x:f>
        <x:v>NRM</x:v>
      </x:c>
      <x:c r="E31" s="13" t="str">
        <x:f>'逐题结果'!E31</x:f>
        <x:v>NRM</x:v>
      </x:c>
      <x:c r="F31" s="13" t="n">
        <x:f>'逐题结果'!I31</x:f>
        <x:v>1</x:v>
      </x:c>
      <x:c r="G31" s="13" t="n">
        <x:f>'逐题结果'!J31</x:f>
        <x:v>1</x:v>
      </x:c>
      <x:c r="H31" s="10" t="n">
        <x:f>IF(F31=1,'逐题结果'!K31,"")</x:f>
        <x:v>784297054.11</x:v>
      </x:c>
      <x:c r="I31" s="13" t="str">
        <x:f>'逐题结果'!D132</x:f>
        <x:v>RA</x:v>
      </x:c>
      <x:c r="J31" s="13" t="str">
        <x:f>'逐题结果'!E132</x:f>
        <x:v>RA</x:v>
      </x:c>
      <x:c r="K31" s="13" t="n">
        <x:f>'逐题结果'!I132</x:f>
        <x:v>1</x:v>
      </x:c>
      <x:c r="L31" s="13" t="n">
        <x:f>'逐题结果'!J132</x:f>
        <x:v>1</x:v>
      </x:c>
      <x:c r="M31" s="10" t="n">
        <x:f>IF(K31=1,'逐题结果'!K132,"")</x:f>
        <x:v>784297054.11</x:v>
      </x:c>
      <x:c r="N31" s="13" t="str">
        <x:f>IF(G31=1,IF(L31=1,"两组均匹配","实验2丢失匹配"),IF(L31=1,"实验2新增匹配","两组均不匹配"))</x:f>
        <x:v>两组均匹配</x:v>
      </x:c>
      <x:c r="O31" s="2"/>
      <x:c r="P31" s="2"/>
    </x:row>
    <x:row r="32" ht="23" customHeight="1">
      <x:c r="A32" s="13" t="str">
        <x:f>'逐题结果'!B32</x:f>
        <x:v>OR-028</x:v>
      </x:c>
      <x:c r="B32" s="13" t="str">
        <x:f>'逐题结果'!C32</x:f>
        <x:v>NRM</x:v>
      </x:c>
      <x:c r="C32" s="10" t="n">
        <x:f>'逐题结果'!L32</x:f>
        <x:v>285816</x:v>
      </x:c>
      <x:c r="D32" s="13" t="str">
        <x:f>'逐题结果'!D32</x:f>
        <x:v>NRM</x:v>
      </x:c>
      <x:c r="E32" s="13" t="str">
        <x:f>'逐题结果'!E32</x:f>
        <x:v>NRM</x:v>
      </x:c>
      <x:c r="F32" s="13" t="n">
        <x:f>'逐题结果'!I32</x:f>
        <x:v>0</x:v>
      </x:c>
      <x:c r="G32" s="13" t="n">
        <x:f>'逐题结果'!J32</x:f>
        <x:v>0</x:v>
      </x:c>
      <x:c r="H32" s="10" t="str">
        <x:f>IF(F32=1,'逐题结果'!K32,"")</x:f>
      </x:c>
      <x:c r="I32" s="13" t="str">
        <x:f>'逐题结果'!D133</x:f>
        <x:v>RA</x:v>
      </x:c>
      <x:c r="J32" s="13" t="str">
        <x:f>'逐题结果'!E133</x:f>
        <x:v>RA</x:v>
      </x:c>
      <x:c r="K32" s="13" t="n">
        <x:f>'逐题结果'!I133</x:f>
        <x:v>1</x:v>
      </x:c>
      <x:c r="L32" s="13" t="n">
        <x:f>'逐题结果'!J133</x:f>
        <x:v>1</x:v>
      </x:c>
      <x:c r="M32" s="10" t="n">
        <x:f>IF(K32=1,'逐题结果'!K133,"")</x:f>
        <x:v>285816</x:v>
      </x:c>
      <x:c r="N32" s="13" t="str">
        <x:f>IF(G32=1,IF(L32=1,"两组均匹配","实验2丢失匹配"),IF(L32=1,"实验2新增匹配","两组均不匹配"))</x:f>
        <x:v>实验2新增匹配</x:v>
      </x:c>
      <x:c r="O32" s="2" t="str">
        <x:v>TypeError</x:v>
      </x:c>
      <x:c r="P32" s="2"/>
    </x:row>
    <x:row r="33" ht="23" customHeight="1">
      <x:c r="A33" s="13" t="str">
        <x:f>'逐题结果'!B33</x:f>
        <x:v>OR-029</x:v>
      </x:c>
      <x:c r="B33" s="13" t="str">
        <x:f>'逐题结果'!C33</x:f>
        <x:v>NRM</x:v>
      </x:c>
      <x:c r="C33" s="10" t="n">
        <x:f>'逐题结果'!L33</x:f>
        <x:v>5090631.58</x:v>
      </x:c>
      <x:c r="D33" s="13" t="str">
        <x:f>'逐题结果'!D33</x:f>
        <x:v>NRM</x:v>
      </x:c>
      <x:c r="E33" s="13" t="str">
        <x:f>'逐题结果'!E33</x:f>
        <x:v>NRM</x:v>
      </x:c>
      <x:c r="F33" s="13" t="n">
        <x:f>'逐题结果'!I33</x:f>
        <x:v>1</x:v>
      </x:c>
      <x:c r="G33" s="13" t="n">
        <x:f>'逐题结果'!J33</x:f>
        <x:v>1</x:v>
      </x:c>
      <x:c r="H33" s="10" t="n">
        <x:f>IF(F33=1,'逐题结果'!K33,"")</x:f>
        <x:v>5090631.58</x:v>
      </x:c>
      <x:c r="I33" s="13" t="str">
        <x:f>'逐题结果'!D134</x:f>
        <x:v>RA</x:v>
      </x:c>
      <x:c r="J33" s="13" t="str">
        <x:f>'逐题结果'!E134</x:f>
        <x:v>RA</x:v>
      </x:c>
      <x:c r="K33" s="13" t="n">
        <x:f>'逐题结果'!I134</x:f>
        <x:v>1</x:v>
      </x:c>
      <x:c r="L33" s="13" t="n">
        <x:f>'逐题结果'!J134</x:f>
        <x:v>1</x:v>
      </x:c>
      <x:c r="M33" s="10" t="n">
        <x:f>IF(K33=1,'逐题结果'!K134,"")</x:f>
        <x:v>5090631.58</x:v>
      </x:c>
      <x:c r="N33" s="13" t="str">
        <x:f>IF(G33=1,IF(L33=1,"两组均匹配","实验2丢失匹配"),IF(L33=1,"实验2新增匹配","两组均不匹配"))</x:f>
        <x:v>两组均匹配</x:v>
      </x:c>
      <x:c r="O33" s="2"/>
      <x:c r="P33" s="2"/>
    </x:row>
    <x:row r="34" ht="23" customHeight="1">
      <x:c r="A34" s="13" t="str">
        <x:f>'逐题结果'!B34</x:f>
        <x:v>OR-030</x:v>
      </x:c>
      <x:c r="B34" s="13" t="str">
        <x:f>'逐题结果'!C34</x:f>
        <x:v>NRM</x:v>
      </x:c>
      <x:c r="C34" s="10" t="n">
        <x:f>'逐题结果'!L34</x:f>
        <x:v>34856.76</x:v>
      </x:c>
      <x:c r="D34" s="13" t="str">
        <x:f>'逐题结果'!D34</x:f>
        <x:v>NRM</x:v>
      </x:c>
      <x:c r="E34" s="13" t="str">
        <x:f>'逐题结果'!E34</x:f>
        <x:v>NRM</x:v>
      </x:c>
      <x:c r="F34" s="13" t="n">
        <x:f>'逐题结果'!I34</x:f>
        <x:v>1</x:v>
      </x:c>
      <x:c r="G34" s="13" t="n">
        <x:f>'逐题结果'!J34</x:f>
        <x:v>1</x:v>
      </x:c>
      <x:c r="H34" s="10" t="n">
        <x:f>IF(F34=1,'逐题结果'!K34,"")</x:f>
        <x:v>34856.759999999995</x:v>
      </x:c>
      <x:c r="I34" s="13" t="str">
        <x:f>'逐题结果'!D135</x:f>
        <x:v>RA</x:v>
      </x:c>
      <x:c r="J34" s="13" t="str">
        <x:f>'逐题结果'!E135</x:f>
        <x:v>RA</x:v>
      </x:c>
      <x:c r="K34" s="13" t="n">
        <x:f>'逐题结果'!I135</x:f>
        <x:v>1</x:v>
      </x:c>
      <x:c r="L34" s="13" t="n">
        <x:f>'逐题结果'!J135</x:f>
        <x:v>0</x:v>
      </x:c>
      <x:c r="M34" s="10" t="n">
        <x:f>IF(K34=1,'逐题结果'!K135,"")</x:f>
        <x:v>14347.28</x:v>
      </x:c>
      <x:c r="N34" s="13" t="str">
        <x:f>IF(G34=1,IF(L34=1,"两组均匹配","实验2丢失匹配"),IF(L34=1,"实验2新增匹配","两组均不匹配"))</x:f>
        <x:v>实验2丢失匹配</x:v>
      </x:c>
      <x:c r="O34" s="2"/>
      <x:c r="P34" s="2"/>
    </x:row>
    <x:row r="35" ht="23" customHeight="1">
      <x:c r="A35" s="13" t="str">
        <x:f>'逐题结果'!B35</x:f>
        <x:v>OR-031</x:v>
      </x:c>
      <x:c r="B35" s="13" t="str">
        <x:f>'逐题结果'!C35</x:f>
        <x:v>NRM</x:v>
      </x:c>
      <x:c r="C35" s="10" t="n">
        <x:f>'逐题结果'!L35</x:f>
        <x:v>67016511.28</x:v>
      </x:c>
      <x:c r="D35" s="13" t="str">
        <x:f>'逐题结果'!D35</x:f>
        <x:v>NRM</x:v>
      </x:c>
      <x:c r="E35" s="13" t="str">
        <x:f>'逐题结果'!E35</x:f>
        <x:v>NRM</x:v>
      </x:c>
      <x:c r="F35" s="13" t="n">
        <x:f>'逐题结果'!I35</x:f>
        <x:v>1</x:v>
      </x:c>
      <x:c r="G35" s="13" t="n">
        <x:f>'逐题结果'!J35</x:f>
        <x:v>1</x:v>
      </x:c>
      <x:c r="H35" s="10" t="n">
        <x:f>IF(F35=1,'逐题结果'!K35,"")</x:f>
        <x:v>67016511.28</x:v>
      </x:c>
      <x:c r="I35" s="13" t="str">
        <x:f>'逐题结果'!D136</x:f>
        <x:v>RA</x:v>
      </x:c>
      <x:c r="J35" s="13" t="str">
        <x:f>'逐题结果'!E136</x:f>
        <x:v>RA</x:v>
      </x:c>
      <x:c r="K35" s="13" t="n">
        <x:f>'逐题结果'!I136</x:f>
        <x:v>1</x:v>
      </x:c>
      <x:c r="L35" s="13" t="n">
        <x:f>'逐题结果'!J136</x:f>
        <x:v>1</x:v>
      </x:c>
      <x:c r="M35" s="10" t="n">
        <x:f>IF(K35=1,'逐题结果'!K136,"")</x:f>
        <x:v>67016511.28</x:v>
      </x:c>
      <x:c r="N35" s="13" t="str">
        <x:f>IF(G35=1,IF(L35=1,"两组均匹配","实验2丢失匹配"),IF(L35=1,"实验2新增匹配","两组均不匹配"))</x:f>
        <x:v>两组均匹配</x:v>
      </x:c>
      <x:c r="O35" s="2"/>
      <x:c r="P35" s="2"/>
    </x:row>
    <x:row r="36" ht="23" customHeight="1">
      <x:c r="A36" s="13" t="str">
        <x:f>'逐题结果'!B36</x:f>
        <x:v>OR-032</x:v>
      </x:c>
      <x:c r="B36" s="13" t="str">
        <x:f>'逐题结果'!C36</x:f>
        <x:v>NRM</x:v>
      </x:c>
      <x:c r="C36" s="10" t="n">
        <x:f>'逐题结果'!L36</x:f>
        <x:v>1240406.25</x:v>
      </x:c>
      <x:c r="D36" s="13" t="str">
        <x:f>'逐题结果'!D36</x:f>
        <x:v>NRM</x:v>
      </x:c>
      <x:c r="E36" s="13" t="str">
        <x:f>'逐题结果'!E36</x:f>
        <x:v>NRM</x:v>
      </x:c>
      <x:c r="F36" s="13" t="n">
        <x:f>'逐题结果'!I36</x:f>
        <x:v>0</x:v>
      </x:c>
      <x:c r="G36" s="13" t="n">
        <x:f>'逐题结果'!J36</x:f>
        <x:v>0</x:v>
      </x:c>
      <x:c r="H36" s="10" t="str">
        <x:f>IF(F36=1,'逐题结果'!K36,"")</x:f>
      </x:c>
      <x:c r="I36" s="13" t="str">
        <x:f>'逐题结果'!D137</x:f>
        <x:v>RA</x:v>
      </x:c>
      <x:c r="J36" s="13" t="str">
        <x:f>'逐题结果'!E137</x:f>
        <x:v>RA</x:v>
      </x:c>
      <x:c r="K36" s="13" t="n">
        <x:f>'逐题结果'!I137</x:f>
        <x:v>1</x:v>
      </x:c>
      <x:c r="L36" s="13" t="n">
        <x:f>'逐题结果'!J137</x:f>
        <x:v>1</x:v>
      </x:c>
      <x:c r="M36" s="10" t="n">
        <x:f>IF(K36=1,'逐题结果'!K137,"")</x:f>
        <x:v>1240406.25</x:v>
      </x:c>
      <x:c r="N36" s="13" t="str">
        <x:f>IF(G36=1,IF(L36=1,"两组均匹配","实验2丢失匹配"),IF(L36=1,"实验2新增匹配","两组均不匹配"))</x:f>
        <x:v>实验2新增匹配</x:v>
      </x:c>
      <x:c r="O36" s="2" t="str">
        <x:v>TypeError</x:v>
      </x:c>
      <x:c r="P36" s="2"/>
    </x:row>
    <x:row r="37" ht="23" customHeight="1">
      <x:c r="A37" s="13" t="str">
        <x:f>'逐题结果'!B37</x:f>
        <x:v>OR-033</x:v>
      </x:c>
      <x:c r="B37" s="13" t="str">
        <x:f>'逐题结果'!C37</x:f>
        <x:v>NRM</x:v>
      </x:c>
      <x:c r="C37" s="10" t="n">
        <x:f>'逐题结果'!L37</x:f>
        <x:v>195506188</x:v>
      </x:c>
      <x:c r="D37" s="13" t="str">
        <x:f>'逐题结果'!D37</x:f>
        <x:v>NRM</x:v>
      </x:c>
      <x:c r="E37" s="13" t="str">
        <x:f>'逐题结果'!E37</x:f>
        <x:v>NRM</x:v>
      </x:c>
      <x:c r="F37" s="13" t="n">
        <x:f>'逐题结果'!I37</x:f>
        <x:v>1</x:v>
      </x:c>
      <x:c r="G37" s="13" t="n">
        <x:f>'逐题结果'!J37</x:f>
        <x:v>1</x:v>
      </x:c>
      <x:c r="H37" s="10" t="n">
        <x:f>IF(F37=1,'逐题结果'!K37,"")</x:f>
        <x:v>195506188</x:v>
      </x:c>
      <x:c r="I37" s="13" t="str">
        <x:f>'逐题结果'!D138</x:f>
        <x:v>RA</x:v>
      </x:c>
      <x:c r="J37" s="13" t="str">
        <x:f>'逐题结果'!E138</x:f>
        <x:v>RA</x:v>
      </x:c>
      <x:c r="K37" s="13" t="n">
        <x:f>'逐题结果'!I138</x:f>
        <x:v>1</x:v>
      </x:c>
      <x:c r="L37" s="13" t="n">
        <x:f>'逐题结果'!J138</x:f>
        <x:v>1</x:v>
      </x:c>
      <x:c r="M37" s="10" t="n">
        <x:f>IF(K37=1,'逐题结果'!K138,"")</x:f>
        <x:v>195506188</x:v>
      </x:c>
      <x:c r="N37" s="13" t="str">
        <x:f>IF(G37=1,IF(L37=1,"两组均匹配","实验2丢失匹配"),IF(L37=1,"实验2新增匹配","两组均不匹配"))</x:f>
        <x:v>两组均匹配</x:v>
      </x:c>
      <x:c r="O37" s="2"/>
      <x:c r="P37" s="2"/>
    </x:row>
    <x:row r="38" ht="23" customHeight="1">
      <x:c r="A38" s="13" t="str">
        <x:f>'逐题结果'!B38</x:f>
        <x:v>OR-034</x:v>
      </x:c>
      <x:c r="B38" s="13" t="str">
        <x:f>'逐题结果'!C38</x:f>
        <x:v>NRM</x:v>
      </x:c>
      <x:c r="C38" s="10" t="n">
        <x:f>'逐题结果'!L38</x:f>
        <x:v>914600.25</x:v>
      </x:c>
      <x:c r="D38" s="13" t="str">
        <x:f>'逐题结果'!D38</x:f>
        <x:v>NRM</x:v>
      </x:c>
      <x:c r="E38" s="13" t="str">
        <x:f>'逐题结果'!E38</x:f>
        <x:v>NRM</x:v>
      </x:c>
      <x:c r="F38" s="13" t="n">
        <x:f>'逐题结果'!I38</x:f>
        <x:v>1</x:v>
      </x:c>
      <x:c r="G38" s="13" t="n">
        <x:f>'逐题结果'!J38</x:f>
        <x:v>1</x:v>
      </x:c>
      <x:c r="H38" s="10" t="n">
        <x:f>IF(F38=1,'逐题结果'!K38,"")</x:f>
        <x:v>914600.2500000002</x:v>
      </x:c>
      <x:c r="I38" s="13" t="str">
        <x:f>'逐题结果'!D139</x:f>
        <x:v>RA</x:v>
      </x:c>
      <x:c r="J38" s="13" t="str">
        <x:f>'逐题结果'!E139</x:f>
        <x:v>RA</x:v>
      </x:c>
      <x:c r="K38" s="13" t="n">
        <x:f>'逐题结果'!I139</x:f>
        <x:v>0</x:v>
      </x:c>
      <x:c r="L38" s="13" t="n">
        <x:f>'逐题结果'!J139</x:f>
        <x:v>0</x:v>
      </x:c>
      <x:c r="M38" s="10" t="str">
        <x:f>IF(K38=1,'逐题结果'!K139,"")</x:f>
      </x:c>
      <x:c r="N38" s="13" t="str">
        <x:f>IF(G38=1,IF(L38=1,"两组均匹配","实验2丢失匹配"),IF(L38=1,"实验2新增匹配","两组均不匹配"))</x:f>
        <x:v>实验2丢失匹配</x:v>
      </x:c>
      <x:c r="O38" s="2"/>
      <x:c r="P38" s="2" t="str">
        <x:v>ValueError</x:v>
      </x:c>
    </x:row>
    <x:row r="39" ht="23" customHeight="1">
      <x:c r="A39" s="13" t="str">
        <x:f>'逐题结果'!B39</x:f>
        <x:v>OR-035</x:v>
      </x:c>
      <x:c r="B39" s="13" t="str">
        <x:f>'逐题结果'!C39</x:f>
        <x:v>RA</x:v>
      </x:c>
      <x:c r="C39" s="10" t="n">
        <x:f>'逐题结果'!L39</x:f>
        <x:v>150660</x:v>
      </x:c>
      <x:c r="D39" s="13" t="str">
        <x:f>'逐题结果'!D39</x:f>
        <x:v>RA</x:v>
      </x:c>
      <x:c r="E39" s="13" t="str">
        <x:f>'逐题结果'!E39</x:f>
        <x:v>RA</x:v>
      </x:c>
      <x:c r="F39" s="13" t="n">
        <x:f>'逐题结果'!I39</x:f>
        <x:v>0</x:v>
      </x:c>
      <x:c r="G39" s="13" t="n">
        <x:f>'逐题结果'!J39</x:f>
        <x:v>0</x:v>
      </x:c>
      <x:c r="H39" s="10" t="str">
        <x:f>IF(F39=1,'逐题结果'!K39,"")</x:f>
      </x:c>
      <x:c r="I39" s="13" t="str">
        <x:f>'逐题结果'!D140</x:f>
        <x:v>Others</x:v>
      </x:c>
      <x:c r="J39" s="13" t="str">
        <x:f>'逐题结果'!E140</x:f>
        <x:v>Others</x:v>
      </x:c>
      <x:c r="K39" s="13" t="n">
        <x:f>'逐题结果'!I140</x:f>
        <x:v>1</x:v>
      </x:c>
      <x:c r="L39" s="13" t="n">
        <x:f>'逐题结果'!J140</x:f>
        <x:v>1</x:v>
      </x:c>
      <x:c r="M39" s="10" t="n">
        <x:f>IF(K39=1,'逐题结果'!K140,"")</x:f>
        <x:v>150660</x:v>
      </x:c>
      <x:c r="N39" s="13" t="str">
        <x:f>IF(G39=1,IF(L39=1,"两组均匹配","实验2丢失匹配"),IF(L39=1,"实验2新增匹配","两组均不匹配"))</x:f>
        <x:v>实验2新增匹配</x:v>
      </x:c>
      <x:c r="O39" s="2" t="str">
        <x:v>TypeError</x:v>
      </x:c>
      <x:c r="P39" s="2"/>
    </x:row>
    <x:row r="40" ht="23" customHeight="1">
      <x:c r="A40" s="13" t="str">
        <x:f>'逐题结果'!B40</x:f>
        <x:v>OR-036</x:v>
      </x:c>
      <x:c r="B40" s="13" t="str">
        <x:f>'逐题结果'!C40</x:f>
        <x:v>RA</x:v>
      </x:c>
      <x:c r="C40" s="10" t="n">
        <x:f>'逐题结果'!L40</x:f>
        <x:v>509925</x:v>
      </x:c>
      <x:c r="D40" s="13" t="str">
        <x:f>'逐题结果'!D40</x:f>
        <x:v>RA</x:v>
      </x:c>
      <x:c r="E40" s="13" t="str">
        <x:f>'逐题结果'!E40</x:f>
        <x:v>RA</x:v>
      </x:c>
      <x:c r="F40" s="13" t="n">
        <x:f>'逐题结果'!I40</x:f>
        <x:v>1</x:v>
      </x:c>
      <x:c r="G40" s="13" t="n">
        <x:f>'逐题结果'!J40</x:f>
        <x:v>1</x:v>
      </x:c>
      <x:c r="H40" s="10" t="n">
        <x:f>IF(F40=1,'逐题结果'!K40,"")</x:f>
        <x:v>509925</x:v>
      </x:c>
      <x:c r="I40" s="13" t="str">
        <x:f>'逐题结果'!D141</x:f>
        <x:v>Others</x:v>
      </x:c>
      <x:c r="J40" s="13" t="str">
        <x:f>'逐题结果'!E141</x:f>
        <x:v>Others</x:v>
      </x:c>
      <x:c r="K40" s="13" t="n">
        <x:f>'逐题结果'!I141</x:f>
        <x:v>1</x:v>
      </x:c>
      <x:c r="L40" s="13" t="n">
        <x:f>'逐题结果'!J141</x:f>
        <x:v>1</x:v>
      </x:c>
      <x:c r="M40" s="10" t="n">
        <x:f>IF(K40=1,'逐题结果'!K141,"")</x:f>
        <x:v>509925</x:v>
      </x:c>
      <x:c r="N40" s="13" t="str">
        <x:f>IF(G40=1,IF(L40=1,"两组均匹配","实验2丢失匹配"),IF(L40=1,"实验2新增匹配","两组均不匹配"))</x:f>
        <x:v>两组均匹配</x:v>
      </x:c>
      <x:c r="O40" s="2"/>
      <x:c r="P40" s="2"/>
    </x:row>
    <x:row r="41" ht="23" customHeight="1">
      <x:c r="A41" s="13" t="str">
        <x:f>'逐题结果'!B41</x:f>
        <x:v>OR-037</x:v>
      </x:c>
      <x:c r="B41" s="13" t="str">
        <x:f>'逐题结果'!C41</x:f>
        <x:v>RA</x:v>
      </x:c>
      <x:c r="C41" s="10" t="n">
        <x:f>'逐题结果'!L41</x:f>
        <x:v>722376</x:v>
      </x:c>
      <x:c r="D41" s="13" t="str">
        <x:f>'逐题结果'!D41</x:f>
        <x:v>RA</x:v>
      </x:c>
      <x:c r="E41" s="13" t="str">
        <x:f>'逐题结果'!E41</x:f>
        <x:v>RA</x:v>
      </x:c>
      <x:c r="F41" s="13" t="n">
        <x:f>'逐题结果'!I41</x:f>
        <x:v>1</x:v>
      </x:c>
      <x:c r="G41" s="13" t="n">
        <x:f>'逐题结果'!J41</x:f>
        <x:v>1</x:v>
      </x:c>
      <x:c r="H41" s="10" t="n">
        <x:f>IF(F41=1,'逐题结果'!K41,"")</x:f>
        <x:v>722376</x:v>
      </x:c>
      <x:c r="I41" s="13" t="str">
        <x:f>'逐题结果'!D142</x:f>
        <x:v>Others</x:v>
      </x:c>
      <x:c r="J41" s="13" t="str">
        <x:f>'逐题结果'!E142</x:f>
        <x:v>Others</x:v>
      </x:c>
      <x:c r="K41" s="13" t="n">
        <x:f>'逐题结果'!I142</x:f>
        <x:v>1</x:v>
      </x:c>
      <x:c r="L41" s="13" t="n">
        <x:f>'逐题结果'!J142</x:f>
        <x:v>1</x:v>
      </x:c>
      <x:c r="M41" s="10" t="n">
        <x:f>IF(K41=1,'逐题结果'!K142,"")</x:f>
        <x:v>722376</x:v>
      </x:c>
      <x:c r="N41" s="13" t="str">
        <x:f>IF(G41=1,IF(L41=1,"两组均匹配","实验2丢失匹配"),IF(L41=1,"实验2新增匹配","两组均不匹配"))</x:f>
        <x:v>两组均匹配</x:v>
      </x:c>
      <x:c r="O41" s="2"/>
      <x:c r="P41" s="2"/>
    </x:row>
    <x:row r="42" ht="23" customHeight="1">
      <x:c r="A42" s="13" t="str">
        <x:f>'逐题结果'!B42</x:f>
        <x:v>OR-038</x:v>
      </x:c>
      <x:c r="B42" s="13" t="str">
        <x:f>'逐题结果'!C42</x:f>
        <x:v>RA</x:v>
      </x:c>
      <x:c r="C42" s="10" t="n">
        <x:f>'逐题结果'!L42</x:f>
        <x:v>1314500</x:v>
      </x:c>
      <x:c r="D42" s="13" t="str">
        <x:f>'逐题结果'!D42</x:f>
        <x:v>RA</x:v>
      </x:c>
      <x:c r="E42" s="13" t="str">
        <x:f>'逐题结果'!E42</x:f>
        <x:v>RA</x:v>
      </x:c>
      <x:c r="F42" s="13" t="n">
        <x:f>'逐题结果'!I42</x:f>
        <x:v>0</x:v>
      </x:c>
      <x:c r="G42" s="13" t="n">
        <x:f>'逐题结果'!J42</x:f>
        <x:v>0</x:v>
      </x:c>
      <x:c r="H42" s="10" t="str">
        <x:f>IF(F42=1,'逐题结果'!K42,"")</x:f>
      </x:c>
      <x:c r="I42" s="13" t="str">
        <x:f>'逐题结果'!D143</x:f>
        <x:v>Others</x:v>
      </x:c>
      <x:c r="J42" s="13" t="str">
        <x:f>'逐题结果'!E143</x:f>
        <x:v>Others</x:v>
      </x:c>
      <x:c r="K42" s="13" t="n">
        <x:f>'逐题结果'!I143</x:f>
        <x:v>1</x:v>
      </x:c>
      <x:c r="L42" s="13" t="n">
        <x:f>'逐题结果'!J143</x:f>
        <x:v>1</x:v>
      </x:c>
      <x:c r="M42" s="10" t="n">
        <x:f>IF(K42=1,'逐题结果'!K143,"")</x:f>
        <x:v>1314500</x:v>
      </x:c>
      <x:c r="N42" s="13" t="str">
        <x:f>IF(G42=1,IF(L42=1,"两组均匹配","实验2丢失匹配"),IF(L42=1,"实验2新增匹配","两组均不匹配"))</x:f>
        <x:v>实验2新增匹配</x:v>
      </x:c>
      <x:c r="O42" s="2" t="str">
        <x:v>ModelOutputTruncated</x:v>
      </x:c>
      <x:c r="P42" s="2"/>
    </x:row>
    <x:row r="43" ht="23" customHeight="1">
      <x:c r="A43" s="13" t="str">
        <x:f>'逐题结果'!B43</x:f>
        <x:v>OR-039</x:v>
      </x:c>
      <x:c r="B43" s="13" t="str">
        <x:f>'逐题结果'!C43</x:f>
        <x:v>RA</x:v>
      </x:c>
      <x:c r="C43" s="10" t="n">
        <x:f>'逐题结果'!L43</x:f>
        <x:v>429000</x:v>
      </x:c>
      <x:c r="D43" s="13" t="str">
        <x:f>'逐题结果'!D43</x:f>
        <x:v>RA</x:v>
      </x:c>
      <x:c r="E43" s="13" t="str">
        <x:f>'逐题结果'!E43</x:f>
        <x:v>RA</x:v>
      </x:c>
      <x:c r="F43" s="13" t="n">
        <x:f>'逐题结果'!I43</x:f>
        <x:v>0</x:v>
      </x:c>
      <x:c r="G43" s="13" t="n">
        <x:f>'逐题结果'!J43</x:f>
        <x:v>0</x:v>
      </x:c>
      <x:c r="H43" s="10" t="str">
        <x:f>IF(F43=1,'逐题结果'!K43,"")</x:f>
      </x:c>
      <x:c r="I43" s="13" t="str">
        <x:f>'逐题结果'!D144</x:f>
        <x:v>Others</x:v>
      </x:c>
      <x:c r="J43" s="13" t="str">
        <x:f>'逐题结果'!E144</x:f>
        <x:v>Others</x:v>
      </x:c>
      <x:c r="K43" s="13" t="n">
        <x:f>'逐题结果'!I144</x:f>
        <x:v>1</x:v>
      </x:c>
      <x:c r="L43" s="13" t="n">
        <x:f>'逐题结果'!J144</x:f>
        <x:v>1</x:v>
      </x:c>
      <x:c r="M43" s="10" t="n">
        <x:f>IF(K43=1,'逐题结果'!K144,"")</x:f>
        <x:v>429000</x:v>
      </x:c>
      <x:c r="N43" s="13" t="str">
        <x:f>IF(G43=1,IF(L43=1,"两组均匹配","实验2丢失匹配"),IF(L43=1,"实验2新增匹配","两组均不匹配"))</x:f>
        <x:v>实验2新增匹配</x:v>
      </x:c>
      <x:c r="O43" s="2" t="str">
        <x:v>TypeError</x:v>
      </x:c>
      <x:c r="P43" s="2"/>
    </x:row>
    <x:row r="44" ht="23" customHeight="1">
      <x:c r="A44" s="13" t="str">
        <x:f>'逐题结果'!B44</x:f>
        <x:v>OR-040</x:v>
      </x:c>
      <x:c r="B44" s="13" t="str">
        <x:f>'逐题结果'!C44</x:f>
        <x:v>RA</x:v>
      </x:c>
      <x:c r="C44" s="10" t="n">
        <x:f>'逐题结果'!L44</x:f>
        <x:v>74260</x:v>
      </x:c>
      <x:c r="D44" s="13" t="str">
        <x:f>'逐题结果'!D44</x:f>
        <x:v>RA</x:v>
      </x:c>
      <x:c r="E44" s="13" t="str">
        <x:f>'逐题结果'!E44</x:f>
        <x:v>RA</x:v>
      </x:c>
      <x:c r="F44" s="13" t="n">
        <x:f>'逐题结果'!I44</x:f>
        <x:v>1</x:v>
      </x:c>
      <x:c r="G44" s="13" t="n">
        <x:f>'逐题结果'!J44</x:f>
        <x:v>1</x:v>
      </x:c>
      <x:c r="H44" s="10" t="n">
        <x:f>IF(F44=1,'逐题结果'!K44,"")</x:f>
        <x:v>74260</x:v>
      </x:c>
      <x:c r="I44" s="13" t="str">
        <x:f>'逐题结果'!D145</x:f>
        <x:v>Others</x:v>
      </x:c>
      <x:c r="J44" s="13" t="str">
        <x:f>'逐题结果'!E145</x:f>
        <x:v>Others</x:v>
      </x:c>
      <x:c r="K44" s="13" t="n">
        <x:f>'逐题结果'!I145</x:f>
        <x:v>1</x:v>
      </x:c>
      <x:c r="L44" s="13" t="n">
        <x:f>'逐题结果'!J145</x:f>
        <x:v>1</x:v>
      </x:c>
      <x:c r="M44" s="10" t="n">
        <x:f>IF(K44=1,'逐题结果'!K145,"")</x:f>
        <x:v>74260</x:v>
      </x:c>
      <x:c r="N44" s="13" t="str">
        <x:f>IF(G44=1,IF(L44=1,"两组均匹配","实验2丢失匹配"),IF(L44=1,"实验2新增匹配","两组均不匹配"))</x:f>
        <x:v>两组均匹配</x:v>
      </x:c>
      <x:c r="O44" s="2"/>
      <x:c r="P44" s="2"/>
    </x:row>
    <x:row r="45" ht="23" customHeight="1">
      <x:c r="A45" s="13" t="str">
        <x:f>'逐题结果'!B45</x:f>
        <x:v>OR-041</x:v>
      </x:c>
      <x:c r="B45" s="13" t="str">
        <x:f>'逐题结果'!C45</x:f>
        <x:v>RA</x:v>
      </x:c>
      <x:c r="C45" s="10" t="n">
        <x:f>'逐题结果'!L45</x:f>
        <x:v>3912</x:v>
      </x:c>
      <x:c r="D45" s="13" t="str">
        <x:f>'逐题结果'!D45</x:f>
        <x:v>RA</x:v>
      </x:c>
      <x:c r="E45" s="13" t="str">
        <x:f>'逐题结果'!E45</x:f>
        <x:v>RA</x:v>
      </x:c>
      <x:c r="F45" s="13" t="n">
        <x:f>'逐题结果'!I45</x:f>
        <x:v>1</x:v>
      </x:c>
      <x:c r="G45" s="13" t="n">
        <x:f>'逐题结果'!J45</x:f>
        <x:v>1</x:v>
      </x:c>
      <x:c r="H45" s="10" t="n">
        <x:f>IF(F45=1,'逐题结果'!K45,"")</x:f>
        <x:v>3912</x:v>
      </x:c>
      <x:c r="I45" s="13" t="str">
        <x:f>'逐题结果'!D146</x:f>
        <x:v>Others</x:v>
      </x:c>
      <x:c r="J45" s="13" t="str">
        <x:f>'逐题结果'!E146</x:f>
        <x:v>Others</x:v>
      </x:c>
      <x:c r="K45" s="13" t="n">
        <x:f>'逐题结果'!I146</x:f>
        <x:v>1</x:v>
      </x:c>
      <x:c r="L45" s="13" t="n">
        <x:f>'逐题结果'!J146</x:f>
        <x:v>0</x:v>
      </x:c>
      <x:c r="M45" s="10" t="n">
        <x:f>IF(K45=1,'逐题结果'!K146,"")</x:f>
        <x:v>4408.523076923077</x:v>
      </x:c>
      <x:c r="N45" s="13" t="str">
        <x:f>IF(G45=1,IF(L45=1,"两组均匹配","实验2丢失匹配"),IF(L45=1,"实验2新增匹配","两组均不匹配"))</x:f>
        <x:v>实验2丢失匹配</x:v>
      </x:c>
      <x:c r="O45" s="2"/>
      <x:c r="P45" s="2"/>
    </x:row>
    <x:row r="46" ht="23" customHeight="1">
      <x:c r="A46" s="13" t="str">
        <x:f>'逐题结果'!B46</x:f>
        <x:v>OR-042</x:v>
      </x:c>
      <x:c r="B46" s="13" t="str">
        <x:f>'逐题结果'!C46</x:f>
        <x:v>RA</x:v>
      </x:c>
      <x:c r="C46" s="10" t="n">
        <x:f>'逐题结果'!L46</x:f>
        <x:v>81918</x:v>
      </x:c>
      <x:c r="D46" s="13" t="str">
        <x:f>'逐题结果'!D46</x:f>
        <x:v>RA</x:v>
      </x:c>
      <x:c r="E46" s="13" t="str">
        <x:f>'逐题结果'!E46</x:f>
        <x:v>RA</x:v>
      </x:c>
      <x:c r="F46" s="13" t="n">
        <x:f>'逐题结果'!I46</x:f>
        <x:v>0</x:v>
      </x:c>
      <x:c r="G46" s="13" t="n">
        <x:f>'逐题结果'!J46</x:f>
        <x:v>0</x:v>
      </x:c>
      <x:c r="H46" s="10" t="str">
        <x:f>IF(F46=1,'逐题结果'!K46,"")</x:f>
      </x:c>
      <x:c r="I46" s="13" t="str">
        <x:f>'逐题结果'!D147</x:f>
        <x:v>Others</x:v>
      </x:c>
      <x:c r="J46" s="13" t="str">
        <x:f>'逐题结果'!E147</x:f>
        <x:v>Others</x:v>
      </x:c>
      <x:c r="K46" s="13" t="n">
        <x:f>'逐题结果'!I147</x:f>
        <x:v>0</x:v>
      </x:c>
      <x:c r="L46" s="13" t="n">
        <x:f>'逐题结果'!J147</x:f>
        <x:v>0</x:v>
      </x:c>
      <x:c r="M46" s="10" t="str">
        <x:f>IF(K46=1,'逐题结果'!K147,"")</x:f>
      </x:c>
      <x:c r="N46" s="13" t="str">
        <x:f>IF(G46=1,IF(L46=1,"两组均匹配","实验2丢失匹配"),IF(L46=1,"实验2新增匹配","两组均不匹配"))</x:f>
        <x:v>两组均不匹配</x:v>
      </x:c>
      <x:c r="O46" s="2" t="str">
        <x:v>KeyError</x:v>
      </x:c>
      <x:c r="P46" s="2" t="str">
        <x:v>ValueError</x:v>
      </x:c>
    </x:row>
    <x:row r="47" ht="23" customHeight="1">
      <x:c r="A47" s="13" t="str">
        <x:f>'逐题结果'!B47</x:f>
        <x:v>OR-043</x:v>
      </x:c>
      <x:c r="B47" s="13" t="str">
        <x:f>'逐题结果'!C47</x:f>
        <x:v>RA</x:v>
      </x:c>
      <x:c r="C47" s="10" t="n">
        <x:f>'逐题结果'!L47</x:f>
        <x:v>13570</x:v>
      </x:c>
      <x:c r="D47" s="13" t="str">
        <x:f>'逐题结果'!D47</x:f>
        <x:v>RA</x:v>
      </x:c>
      <x:c r="E47" s="13" t="str">
        <x:f>'逐题结果'!E47</x:f>
        <x:v>RA</x:v>
      </x:c>
      <x:c r="F47" s="13" t="n">
        <x:f>'逐题结果'!I47</x:f>
        <x:v>1</x:v>
      </x:c>
      <x:c r="G47" s="13" t="n">
        <x:f>'逐题结果'!J47</x:f>
        <x:v>1</x:v>
      </x:c>
      <x:c r="H47" s="10" t="n">
        <x:f>IF(F47=1,'逐题结果'!K47,"")</x:f>
        <x:v>13570</x:v>
      </x:c>
      <x:c r="I47" s="13" t="str">
        <x:f>'逐题结果'!D148</x:f>
        <x:v>Others</x:v>
      </x:c>
      <x:c r="J47" s="13" t="str">
        <x:f>'逐题结果'!E148</x:f>
        <x:v>Others</x:v>
      </x:c>
      <x:c r="K47" s="13" t="n">
        <x:f>'逐题结果'!I148</x:f>
        <x:v>1</x:v>
      </x:c>
      <x:c r="L47" s="13" t="n">
        <x:f>'逐题结果'!J148</x:f>
        <x:v>1</x:v>
      </x:c>
      <x:c r="M47" s="10" t="n">
        <x:f>IF(K47=1,'逐题结果'!K148,"")</x:f>
        <x:v>13570</x:v>
      </x:c>
      <x:c r="N47" s="13" t="str">
        <x:f>IF(G47=1,IF(L47=1,"两组均匹配","实验2丢失匹配"),IF(L47=1,"实验2新增匹配","两组均不匹配"))</x:f>
        <x:v>两组均匹配</x:v>
      </x:c>
      <x:c r="O47" s="2"/>
      <x:c r="P47" s="2"/>
    </x:row>
    <x:row r="48" ht="23" customHeight="1">
      <x:c r="A48" s="13" t="str">
        <x:f>'逐题结果'!B48</x:f>
        <x:v>OR-044</x:v>
      </x:c>
      <x:c r="B48" s="13" t="str">
        <x:f>'逐题结果'!C48</x:f>
        <x:v>RA</x:v>
      </x:c>
      <x:c r="C48" s="10" t="n">
        <x:f>'逐题结果'!L48</x:f>
        <x:v>8000</x:v>
      </x:c>
      <x:c r="D48" s="13" t="str">
        <x:f>'逐题结果'!D48</x:f>
        <x:v>RA</x:v>
      </x:c>
      <x:c r="E48" s="13" t="str">
        <x:f>'逐题结果'!E48</x:f>
        <x:v>RA</x:v>
      </x:c>
      <x:c r="F48" s="13" t="n">
        <x:f>'逐题结果'!I48</x:f>
        <x:v>0</x:v>
      </x:c>
      <x:c r="G48" s="13" t="n">
        <x:f>'逐题结果'!J48</x:f>
        <x:v>0</x:v>
      </x:c>
      <x:c r="H48" s="10" t="str">
        <x:f>IF(F48=1,'逐题结果'!K48,"")</x:f>
      </x:c>
      <x:c r="I48" s="13" t="str">
        <x:f>'逐题结果'!D149</x:f>
        <x:v>Others</x:v>
      </x:c>
      <x:c r="J48" s="13" t="str">
        <x:f>'逐题结果'!E149</x:f>
        <x:v>Others</x:v>
      </x:c>
      <x:c r="K48" s="13" t="n">
        <x:f>'逐题结果'!I149</x:f>
        <x:v>1</x:v>
      </x:c>
      <x:c r="L48" s="13" t="n">
        <x:f>'逐题结果'!J149</x:f>
        <x:v>1</x:v>
      </x:c>
      <x:c r="M48" s="10" t="n">
        <x:f>IF(K48=1,'逐题结果'!K149,"")</x:f>
        <x:v>8000</x:v>
      </x:c>
      <x:c r="N48" s="13" t="str">
        <x:f>IF(G48=1,IF(L48=1,"两组均匹配","实验2丢失匹配"),IF(L48=1,"实验2新增匹配","两组均不匹配"))</x:f>
        <x:v>实验2新增匹配</x:v>
      </x:c>
      <x:c r="O48" s="2" t="str">
        <x:v>TypeError</x:v>
      </x:c>
      <x:c r="P48" s="2"/>
    </x:row>
    <x:row r="49" ht="23" customHeight="1">
      <x:c r="A49" s="13" t="str">
        <x:f>'逐题结果'!B49</x:f>
        <x:v>OR-045</x:v>
      </x:c>
      <x:c r="B49" s="13" t="str">
        <x:f>'逐题结果'!C49</x:f>
        <x:v>RA</x:v>
      </x:c>
      <x:c r="C49" s="10" t="n">
        <x:f>'逐题结果'!L49</x:f>
        <x:v>885</x:v>
      </x:c>
      <x:c r="D49" s="13" t="str">
        <x:f>'逐题结果'!D49</x:f>
        <x:v>RA</x:v>
      </x:c>
      <x:c r="E49" s="13" t="str">
        <x:f>'逐题结果'!E49</x:f>
        <x:v>RA</x:v>
      </x:c>
      <x:c r="F49" s="13" t="n">
        <x:f>'逐题结果'!I49</x:f>
        <x:v>1</x:v>
      </x:c>
      <x:c r="G49" s="13" t="n">
        <x:f>'逐题结果'!J49</x:f>
        <x:v>1</x:v>
      </x:c>
      <x:c r="H49" s="10" t="n">
        <x:f>IF(F49=1,'逐题结果'!K49,"")</x:f>
        <x:v>885</x:v>
      </x:c>
      <x:c r="I49" s="13" t="str">
        <x:f>'逐题结果'!D150</x:f>
        <x:v>Others</x:v>
      </x:c>
      <x:c r="J49" s="13" t="str">
        <x:f>'逐题结果'!E150</x:f>
        <x:v>Others</x:v>
      </x:c>
      <x:c r="K49" s="13" t="n">
        <x:f>'逐题结果'!I150</x:f>
        <x:v>1</x:v>
      </x:c>
      <x:c r="L49" s="13" t="n">
        <x:f>'逐题结果'!J150</x:f>
        <x:v>1</x:v>
      </x:c>
      <x:c r="M49" s="10" t="n">
        <x:f>IF(K49=1,'逐题结果'!K150,"")</x:f>
        <x:v>885</x:v>
      </x:c>
      <x:c r="N49" s="13" t="str">
        <x:f>IF(G49=1,IF(L49=1,"两组均匹配","实验2丢失匹配"),IF(L49=1,"实验2新增匹配","两组均不匹配"))</x:f>
        <x:v>两组均匹配</x:v>
      </x:c>
      <x:c r="O49" s="2"/>
      <x:c r="P49" s="2"/>
    </x:row>
    <x:row r="50" ht="23" customHeight="1">
      <x:c r="A50" s="13" t="str">
        <x:f>'逐题结果'!B50</x:f>
        <x:v>OR-046</x:v>
      </x:c>
      <x:c r="B50" s="13" t="str">
        <x:f>'逐题结果'!C50</x:f>
        <x:v>RA</x:v>
      </x:c>
      <x:c r="C50" s="10" t="n">
        <x:f>'逐题结果'!L50</x:f>
        <x:v>212</x:v>
      </x:c>
      <x:c r="D50" s="13" t="str">
        <x:f>'逐题结果'!D50</x:f>
        <x:v>RA</x:v>
      </x:c>
      <x:c r="E50" s="13" t="str">
        <x:f>'逐题结果'!E50</x:f>
        <x:v>RA</x:v>
      </x:c>
      <x:c r="F50" s="13" t="n">
        <x:f>'逐题结果'!I50</x:f>
        <x:v>0</x:v>
      </x:c>
      <x:c r="G50" s="13" t="n">
        <x:f>'逐题结果'!J50</x:f>
        <x:v>0</x:v>
      </x:c>
      <x:c r="H50" s="10" t="str">
        <x:f>IF(F50=1,'逐题结果'!K50,"")</x:f>
      </x:c>
      <x:c r="I50" s="13" t="str">
        <x:f>'逐题结果'!D151</x:f>
        <x:v>Others</x:v>
      </x:c>
      <x:c r="J50" s="13" t="str">
        <x:f>'逐题结果'!E151</x:f>
        <x:v>Others</x:v>
      </x:c>
      <x:c r="K50" s="13" t="n">
        <x:f>'逐题结果'!I151</x:f>
        <x:v>1</x:v>
      </x:c>
      <x:c r="L50" s="13" t="n">
        <x:f>'逐题结果'!J151</x:f>
        <x:v>1</x:v>
      </x:c>
      <x:c r="M50" s="10" t="n">
        <x:f>IF(K50=1,'逐题结果'!K151,"")</x:f>
        <x:v>212</x:v>
      </x:c>
      <x:c r="N50" s="13" t="str">
        <x:f>IF(G50=1,IF(L50=1,"两组均匹配","实验2丢失匹配"),IF(L50=1,"实验2新增匹配","两组均不匹配"))</x:f>
        <x:v>实验2新增匹配</x:v>
      </x:c>
      <x:c r="O50" s="2" t="str">
        <x:v>TypeError</x:v>
      </x:c>
      <x:c r="P50" s="2"/>
    </x:row>
    <x:row r="51" ht="23" customHeight="1">
      <x:c r="A51" s="13" t="str">
        <x:f>'逐题结果'!B51</x:f>
        <x:v>OR-047</x:v>
      </x:c>
      <x:c r="B51" s="13" t="str">
        <x:f>'逐题结果'!C51</x:f>
        <x:v>RA</x:v>
      </x:c>
      <x:c r="C51" s="10" t="n">
        <x:f>'逐题结果'!L51</x:f>
        <x:v>5433</x:v>
      </x:c>
      <x:c r="D51" s="13" t="str">
        <x:f>'逐题结果'!D51</x:f>
        <x:v>RA</x:v>
      </x:c>
      <x:c r="E51" s="13" t="str">
        <x:f>'逐题结果'!E51</x:f>
        <x:v>RA</x:v>
      </x:c>
      <x:c r="F51" s="13" t="n">
        <x:f>'逐题结果'!I51</x:f>
        <x:v>0</x:v>
      </x:c>
      <x:c r="G51" s="13" t="n">
        <x:f>'逐题结果'!J51</x:f>
        <x:v>0</x:v>
      </x:c>
      <x:c r="H51" s="10" t="str">
        <x:f>IF(F51=1,'逐题结果'!K51,"")</x:f>
      </x:c>
      <x:c r="I51" s="13" t="str">
        <x:f>'逐题结果'!D152</x:f>
        <x:v>Mixture</x:v>
      </x:c>
      <x:c r="J51" s="13" t="str">
        <x:f>'逐题结果'!E152</x:f>
        <x:v>Others</x:v>
      </x:c>
      <x:c r="K51" s="13" t="n">
        <x:f>'逐题结果'!I152</x:f>
        <x:v>1</x:v>
      </x:c>
      <x:c r="L51" s="13" t="n">
        <x:f>'逐题结果'!J152</x:f>
        <x:v>1</x:v>
      </x:c>
      <x:c r="M51" s="10" t="n">
        <x:f>IF(K51=1,'逐题结果'!K152,"")</x:f>
        <x:v>5433</x:v>
      </x:c>
      <x:c r="N51" s="13" t="str">
        <x:f>IF(G51=1,IF(L51=1,"两组均匹配","实验2丢失匹配"),IF(L51=1,"实验2新增匹配","两组均不匹配"))</x:f>
        <x:v>实验2新增匹配</x:v>
      </x:c>
      <x:c r="O51" s="2" t="str">
        <x:v>TypeError</x:v>
      </x:c>
      <x:c r="P51" s="2"/>
    </x:row>
    <x:row r="52" ht="23" customHeight="1">
      <x:c r="A52" s="13" t="str">
        <x:f>'逐题结果'!B52</x:f>
        <x:v>OR-048</x:v>
      </x:c>
      <x:c r="B52" s="13" t="str">
        <x:f>'逐题结果'!C52</x:f>
        <x:v>RA</x:v>
      </x:c>
      <x:c r="C52" s="10" t="n">
        <x:f>'逐题结果'!L52</x:f>
        <x:v>635052</x:v>
      </x:c>
      <x:c r="D52" s="13" t="str">
        <x:f>'逐题结果'!D52</x:f>
        <x:v>RA</x:v>
      </x:c>
      <x:c r="E52" s="13" t="str">
        <x:f>'逐题结果'!E52</x:f>
        <x:v>RA</x:v>
      </x:c>
      <x:c r="F52" s="13" t="n">
        <x:f>'逐题结果'!I52</x:f>
        <x:v>1</x:v>
      </x:c>
      <x:c r="G52" s="13" t="n">
        <x:f>'逐题结果'!J52</x:f>
        <x:v>1</x:v>
      </x:c>
      <x:c r="H52" s="10" t="n">
        <x:f>IF(F52=1,'逐题结果'!K52,"")</x:f>
        <x:v>635052</x:v>
      </x:c>
      <x:c r="I52" s="13" t="str">
        <x:f>'逐题结果'!D153</x:f>
        <x:v>Others</x:v>
      </x:c>
      <x:c r="J52" s="13" t="str">
        <x:f>'逐题结果'!E153</x:f>
        <x:v>Others</x:v>
      </x:c>
      <x:c r="K52" s="13" t="n">
        <x:f>'逐题结果'!I153</x:f>
        <x:v>1</x:v>
      </x:c>
      <x:c r="L52" s="13" t="n">
        <x:f>'逐题结果'!J153</x:f>
        <x:v>1</x:v>
      </x:c>
      <x:c r="M52" s="10" t="n">
        <x:f>IF(K52=1,'逐题结果'!K153,"")</x:f>
        <x:v>635052</x:v>
      </x:c>
      <x:c r="N52" s="13" t="str">
        <x:f>IF(G52=1,IF(L52=1,"两组均匹配","实验2丢失匹配"),IF(L52=1,"实验2新增匹配","两组均不匹配"))</x:f>
        <x:v>两组均匹配</x:v>
      </x:c>
      <x:c r="O52" s="2"/>
      <x:c r="P52" s="2"/>
    </x:row>
    <x:row r="53" ht="23" customHeight="1">
      <x:c r="A53" s="13" t="str">
        <x:f>'逐题结果'!B53</x:f>
        <x:v>OR-049</x:v>
      </x:c>
      <x:c r="B53" s="13" t="str">
        <x:f>'逐题结果'!C53</x:f>
        <x:v>RA</x:v>
      </x:c>
      <x:c r="C53" s="10" t="n">
        <x:f>'逐题结果'!L53</x:f>
        <x:v>85500</x:v>
      </x:c>
      <x:c r="D53" s="13" t="str">
        <x:f>'逐题结果'!D53</x:f>
        <x:v>RA</x:v>
      </x:c>
      <x:c r="E53" s="13" t="str">
        <x:f>'逐题结果'!E53</x:f>
        <x:v>RA</x:v>
      </x:c>
      <x:c r="F53" s="13" t="n">
        <x:f>'逐题结果'!I53</x:f>
        <x:v>1</x:v>
      </x:c>
      <x:c r="G53" s="13" t="n">
        <x:f>'逐题结果'!J53</x:f>
        <x:v>1</x:v>
      </x:c>
      <x:c r="H53" s="10" t="n">
        <x:f>IF(F53=1,'逐题结果'!K53,"")</x:f>
        <x:v>85500</x:v>
      </x:c>
      <x:c r="I53" s="13" t="str">
        <x:f>'逐题结果'!D154</x:f>
        <x:v>Others</x:v>
      </x:c>
      <x:c r="J53" s="13" t="str">
        <x:f>'逐题结果'!E154</x:f>
        <x:v>Others</x:v>
      </x:c>
      <x:c r="K53" s="13" t="n">
        <x:f>'逐题结果'!I154</x:f>
        <x:v>1</x:v>
      </x:c>
      <x:c r="L53" s="13" t="n">
        <x:f>'逐题结果'!J154</x:f>
        <x:v>1</x:v>
      </x:c>
      <x:c r="M53" s="10" t="n">
        <x:f>IF(K53=1,'逐题结果'!K154,"")</x:f>
        <x:v>85500</x:v>
      </x:c>
      <x:c r="N53" s="13" t="str">
        <x:f>IF(G53=1,IF(L53=1,"两组均匹配","实验2丢失匹配"),IF(L53=1,"实验2新增匹配","两组均不匹配"))</x:f>
        <x:v>两组均匹配</x:v>
      </x:c>
      <x:c r="O53" s="2"/>
      <x:c r="P53" s="2"/>
    </x:row>
    <x:row r="54" ht="23" customHeight="1">
      <x:c r="A54" s="13" t="str">
        <x:f>'逐题结果'!B54</x:f>
        <x:v>OR-050</x:v>
      </x:c>
      <x:c r="B54" s="13" t="str">
        <x:f>'逐题结果'!C54</x:f>
        <x:v>Mixture</x:v>
      </x:c>
      <x:c r="C54" s="10" t="n">
        <x:f>'逐题结果'!L54</x:f>
        <x:v>80250</x:v>
      </x:c>
      <x:c r="D54" s="13" t="str">
        <x:f>'逐题结果'!D54</x:f>
        <x:v>RA</x:v>
      </x:c>
      <x:c r="E54" s="13" t="str">
        <x:f>'逐题结果'!E54</x:f>
        <x:v>RA</x:v>
      </x:c>
      <x:c r="F54" s="13" t="n">
        <x:f>'逐题结果'!I54</x:f>
        <x:v>0</x:v>
      </x:c>
      <x:c r="G54" s="13" t="n">
        <x:f>'逐题结果'!J54</x:f>
        <x:v>0</x:v>
      </x:c>
      <x:c r="H54" s="10" t="str">
        <x:f>IF(F54=1,'逐题结果'!K54,"")</x:f>
      </x:c>
      <x:c r="I54" s="13" t="str">
        <x:f>'逐题结果'!D155</x:f>
        <x:v>RA</x:v>
      </x:c>
      <x:c r="J54" s="13" t="str">
        <x:f>'逐题结果'!E155</x:f>
        <x:v>RA</x:v>
      </x:c>
      <x:c r="K54" s="13" t="n">
        <x:f>'逐题结果'!I155</x:f>
        <x:v>0</x:v>
      </x:c>
      <x:c r="L54" s="13" t="n">
        <x:f>'逐题结果'!J155</x:f>
        <x:v>0</x:v>
      </x:c>
      <x:c r="M54" s="10" t="str">
        <x:f>IF(K54=1,'逐题结果'!K155,"")</x:f>
      </x:c>
      <x:c r="N54" s="13" t="str">
        <x:f>IF(G54=1,IF(L54=1,"两组均匹配","实验2丢失匹配"),IF(L54=1,"实验2新增匹配","两组均不匹配"))</x:f>
        <x:v>两组均不匹配</x:v>
      </x:c>
      <x:c r="O54" s="2" t="str">
        <x:v>ValueError</x:v>
      </x:c>
      <x:c r="P54" s="2" t="str">
        <x:v>ValueError</x:v>
      </x:c>
    </x:row>
    <x:row r="55" ht="23" customHeight="1">
      <x:c r="A55" s="13" t="str">
        <x:f>'逐题结果'!B55</x:f>
        <x:v>OR-051</x:v>
      </x:c>
      <x:c r="B55" s="13" t="str">
        <x:f>'逐题结果'!C55</x:f>
        <x:v>RA</x:v>
      </x:c>
      <x:c r="C55" s="10" t="n">
        <x:f>'逐题结果'!L55</x:f>
        <x:v>594900</x:v>
      </x:c>
      <x:c r="D55" s="13" t="str">
        <x:f>'逐题结果'!D55</x:f>
        <x:v>RA</x:v>
      </x:c>
      <x:c r="E55" s="13" t="str">
        <x:f>'逐题结果'!E55</x:f>
        <x:v>RA</x:v>
      </x:c>
      <x:c r="F55" s="13" t="n">
        <x:f>'逐题结果'!I55</x:f>
        <x:v>0</x:v>
      </x:c>
      <x:c r="G55" s="13" t="n">
        <x:f>'逐题结果'!J55</x:f>
        <x:v>0</x:v>
      </x:c>
      <x:c r="H55" s="10" t="str">
        <x:f>IF(F55=1,'逐题结果'!K55,"")</x:f>
      </x:c>
      <x:c r="I55" s="13" t="str">
        <x:f>'逐题结果'!D156</x:f>
        <x:v>Others</x:v>
      </x:c>
      <x:c r="J55" s="13" t="str">
        <x:f>'逐题结果'!E156</x:f>
        <x:v>Others</x:v>
      </x:c>
      <x:c r="K55" s="13" t="n">
        <x:f>'逐题结果'!I156</x:f>
        <x:v>1</x:v>
      </x:c>
      <x:c r="L55" s="13" t="n">
        <x:f>'逐题结果'!J156</x:f>
        <x:v>1</x:v>
      </x:c>
      <x:c r="M55" s="10" t="n">
        <x:f>IF(K55=1,'逐题结果'!K156,"")</x:f>
        <x:v>594900</x:v>
      </x:c>
      <x:c r="N55" s="13" t="str">
        <x:f>IF(G55=1,IF(L55=1,"两组均匹配","实验2丢失匹配"),IF(L55=1,"实验2新增匹配","两组均不匹配"))</x:f>
        <x:v>实验2新增匹配</x:v>
      </x:c>
      <x:c r="O55" s="2" t="str">
        <x:v>TypeError</x:v>
      </x:c>
      <x:c r="P55" s="2"/>
    </x:row>
    <x:row r="56" ht="23" customHeight="1">
      <x:c r="A56" s="13" t="str">
        <x:f>'逐题结果'!B56</x:f>
        <x:v>OR-052</x:v>
      </x:c>
      <x:c r="B56" s="13" t="str">
        <x:f>'逐题结果'!C56</x:f>
        <x:v>RA</x:v>
      </x:c>
      <x:c r="C56" s="10" t="n">
        <x:f>'逐题结果'!L56</x:f>
        <x:v>30240</x:v>
      </x:c>
      <x:c r="D56" s="13" t="str">
        <x:f>'逐题结果'!D56</x:f>
        <x:v>RA</x:v>
      </x:c>
      <x:c r="E56" s="13" t="str">
        <x:f>'逐题结果'!E56</x:f>
        <x:v>RA</x:v>
      </x:c>
      <x:c r="F56" s="13" t="n">
        <x:f>'逐题结果'!I56</x:f>
        <x:v>1</x:v>
      </x:c>
      <x:c r="G56" s="13" t="n">
        <x:f>'逐题结果'!J56</x:f>
        <x:v>1</x:v>
      </x:c>
      <x:c r="H56" s="10" t="n">
        <x:f>IF(F56=1,'逐题结果'!K56,"")</x:f>
        <x:v>30240</x:v>
      </x:c>
      <x:c r="I56" s="13" t="str">
        <x:f>'逐题结果'!D157</x:f>
        <x:v>Others</x:v>
      </x:c>
      <x:c r="J56" s="13" t="str">
        <x:f>'逐题结果'!E157</x:f>
        <x:v>Others</x:v>
      </x:c>
      <x:c r="K56" s="13" t="n">
        <x:f>'逐题结果'!I157</x:f>
        <x:v>1</x:v>
      </x:c>
      <x:c r="L56" s="13" t="n">
        <x:f>'逐题结果'!J157</x:f>
        <x:v>1</x:v>
      </x:c>
      <x:c r="M56" s="10" t="n">
        <x:f>IF(K56=1,'逐题结果'!K157,"")</x:f>
        <x:v>30240</x:v>
      </x:c>
      <x:c r="N56" s="13" t="str">
        <x:f>IF(G56=1,IF(L56=1,"两组均匹配","实验2丢失匹配"),IF(L56=1,"实验2新增匹配","两组均不匹配"))</x:f>
        <x:v>两组均匹配</x:v>
      </x:c>
      <x:c r="O56" s="2"/>
      <x:c r="P56" s="2"/>
    </x:row>
    <x:row r="57" ht="23" customHeight="1">
      <x:c r="A57" s="13" t="str">
        <x:f>'逐题结果'!B57</x:f>
        <x:v>OR-053</x:v>
      </x:c>
      <x:c r="B57" s="13" t="str">
        <x:f>'逐题结果'!C57</x:f>
        <x:v>RA</x:v>
      </x:c>
      <x:c r="C57" s="10" t="n">
        <x:f>'逐题结果'!L57</x:f>
        <x:v>41040</x:v>
      </x:c>
      <x:c r="D57" s="13" t="str">
        <x:f>'逐题结果'!D57</x:f>
        <x:v>RA</x:v>
      </x:c>
      <x:c r="E57" s="13" t="str">
        <x:f>'逐题结果'!E57</x:f>
        <x:v>RA</x:v>
      </x:c>
      <x:c r="F57" s="13" t="n">
        <x:f>'逐题结果'!I57</x:f>
        <x:v>0</x:v>
      </x:c>
      <x:c r="G57" s="13" t="n">
        <x:f>'逐题结果'!J57</x:f>
        <x:v>0</x:v>
      </x:c>
      <x:c r="H57" s="10" t="str">
        <x:f>IF(F57=1,'逐题结果'!K57,"")</x:f>
      </x:c>
      <x:c r="I57" s="13" t="str">
        <x:f>'逐题结果'!D158</x:f>
        <x:v>Others</x:v>
      </x:c>
      <x:c r="J57" s="13" t="str">
        <x:f>'逐题结果'!E158</x:f>
        <x:v>Others</x:v>
      </x:c>
      <x:c r="K57" s="13" t="n">
        <x:f>'逐题结果'!I158</x:f>
        <x:v>1</x:v>
      </x:c>
      <x:c r="L57" s="13" t="n">
        <x:f>'逐题结果'!J158</x:f>
        <x:v>1</x:v>
      </x:c>
      <x:c r="M57" s="10" t="n">
        <x:f>IF(K57=1,'逐题结果'!K158,"")</x:f>
        <x:v>41040</x:v>
      </x:c>
      <x:c r="N57" s="13" t="str">
        <x:f>IF(G57=1,IF(L57=1,"两组均匹配","实验2丢失匹配"),IF(L57=1,"实验2新增匹配","两组均不匹配"))</x:f>
        <x:v>实验2新增匹配</x:v>
      </x:c>
      <x:c r="O57" s="2" t="str">
        <x:v>TypeError</x:v>
      </x:c>
      <x:c r="P57" s="2"/>
    </x:row>
    <x:row r="58" ht="23" customHeight="1">
      <x:c r="A58" s="13" t="str">
        <x:f>'逐题结果'!B58</x:f>
        <x:v>OR-054</x:v>
      </x:c>
      <x:c r="B58" s="13" t="str">
        <x:f>'逐题结果'!C58</x:f>
        <x:v>RA</x:v>
      </x:c>
      <x:c r="C58" s="10" t="n">
        <x:f>'逐题结果'!L58</x:f>
        <x:v>98670</x:v>
      </x:c>
      <x:c r="D58" s="13" t="str">
        <x:f>'逐题结果'!D58</x:f>
        <x:v>RA</x:v>
      </x:c>
      <x:c r="E58" s="13" t="str">
        <x:f>'逐题结果'!E58</x:f>
        <x:v>RA</x:v>
      </x:c>
      <x:c r="F58" s="13" t="n">
        <x:f>'逐题结果'!I58</x:f>
        <x:v>0</x:v>
      </x:c>
      <x:c r="G58" s="13" t="n">
        <x:f>'逐题结果'!J58</x:f>
        <x:v>0</x:v>
      </x:c>
      <x:c r="H58" s="10" t="str">
        <x:f>IF(F58=1,'逐题结果'!K58,"")</x:f>
      </x:c>
      <x:c r="I58" s="13" t="str">
        <x:f>'逐题结果'!D159</x:f>
        <x:v>Others</x:v>
      </x:c>
      <x:c r="J58" s="13" t="str">
        <x:f>'逐题结果'!E159</x:f>
        <x:v>Others</x:v>
      </x:c>
      <x:c r="K58" s="13" t="n">
        <x:f>'逐题结果'!I159</x:f>
        <x:v>1</x:v>
      </x:c>
      <x:c r="L58" s="13" t="n">
        <x:f>'逐题结果'!J159</x:f>
        <x:v>1</x:v>
      </x:c>
      <x:c r="M58" s="10" t="n">
        <x:f>IF(K58=1,'逐题结果'!K159,"")</x:f>
        <x:v>98670</x:v>
      </x:c>
      <x:c r="N58" s="13" t="str">
        <x:f>IF(G58=1,IF(L58=1,"两组均匹配","实验2丢失匹配"),IF(L58=1,"实验2新增匹配","两组均不匹配"))</x:f>
        <x:v>实验2新增匹配</x:v>
      </x:c>
      <x:c r="O58" s="2" t="str">
        <x:v>TypeError</x:v>
      </x:c>
      <x:c r="P58" s="2"/>
    </x:row>
    <x:row r="59" ht="23" customHeight="1">
      <x:c r="A59" s="13" t="str">
        <x:f>'逐题结果'!B59</x:f>
        <x:v>OR-055</x:v>
      </x:c>
      <x:c r="B59" s="13" t="str">
        <x:f>'逐题结果'!C59</x:f>
        <x:v>RA</x:v>
      </x:c>
      <x:c r="C59" s="10" t="n">
        <x:f>'逐题结果'!L59</x:f>
        <x:v>27088640</x:v>
      </x:c>
      <x:c r="D59" s="13" t="str">
        <x:f>'逐题结果'!D59</x:f>
        <x:v>RA</x:v>
      </x:c>
      <x:c r="E59" s="13" t="str">
        <x:f>'逐题结果'!E59</x:f>
        <x:v>RA</x:v>
      </x:c>
      <x:c r="F59" s="13" t="n">
        <x:f>'逐题结果'!I59</x:f>
        <x:v>1</x:v>
      </x:c>
      <x:c r="G59" s="13" t="n">
        <x:f>'逐题结果'!J59</x:f>
        <x:v>1</x:v>
      </x:c>
      <x:c r="H59" s="10" t="n">
        <x:f>IF(F59=1,'逐题结果'!K59,"")</x:f>
        <x:v>27088640</x:v>
      </x:c>
      <x:c r="I59" s="13" t="str">
        <x:f>'逐题结果'!D160</x:f>
        <x:v>Others</x:v>
      </x:c>
      <x:c r="J59" s="13" t="str">
        <x:f>'逐题结果'!E160</x:f>
        <x:v>Others</x:v>
      </x:c>
      <x:c r="K59" s="13" t="n">
        <x:f>'逐题结果'!I160</x:f>
        <x:v>1</x:v>
      </x:c>
      <x:c r="L59" s="13" t="n">
        <x:f>'逐题结果'!J160</x:f>
        <x:v>1</x:v>
      </x:c>
      <x:c r="M59" s="10" t="n">
        <x:f>IF(K59=1,'逐题结果'!K160,"")</x:f>
        <x:v>27088640</x:v>
      </x:c>
      <x:c r="N59" s="13" t="str">
        <x:f>IF(G59=1,IF(L59=1,"两组均匹配","实验2丢失匹配"),IF(L59=1,"实验2新增匹配","两组均不匹配"))</x:f>
        <x:v>两组均匹配</x:v>
      </x:c>
      <x:c r="O59" s="2"/>
      <x:c r="P59" s="2"/>
    </x:row>
    <x:row r="60" ht="23" customHeight="1">
      <x:c r="A60" s="13" t="str">
        <x:f>'逐题结果'!B60</x:f>
        <x:v>OR-056</x:v>
      </x:c>
      <x:c r="B60" s="13" t="str">
        <x:f>'逐题结果'!C60</x:f>
        <x:v>RA</x:v>
      </x:c>
      <x:c r="C60" s="10" t="n">
        <x:f>'逐题结果'!L60</x:f>
        <x:v>55642671</x:v>
      </x:c>
      <x:c r="D60" s="13" t="str">
        <x:f>'逐题结果'!D60</x:f>
        <x:v>RA</x:v>
      </x:c>
      <x:c r="E60" s="13" t="str">
        <x:f>'逐题结果'!E60</x:f>
        <x:v>RA</x:v>
      </x:c>
      <x:c r="F60" s="13" t="n">
        <x:f>'逐题结果'!I60</x:f>
        <x:v>1</x:v>
      </x:c>
      <x:c r="G60" s="13" t="n">
        <x:f>'逐题结果'!J60</x:f>
        <x:v>1</x:v>
      </x:c>
      <x:c r="H60" s="10" t="n">
        <x:f>IF(F60=1,'逐题结果'!K60,"")</x:f>
        <x:v>55642671</x:v>
      </x:c>
      <x:c r="I60" s="13" t="str">
        <x:f>'逐题结果'!D161</x:f>
        <x:v>Others</x:v>
      </x:c>
      <x:c r="J60" s="13" t="str">
        <x:f>'逐题结果'!E161</x:f>
        <x:v>Others</x:v>
      </x:c>
      <x:c r="K60" s="13" t="n">
        <x:f>'逐题结果'!I161</x:f>
        <x:v>1</x:v>
      </x:c>
      <x:c r="L60" s="13" t="n">
        <x:f>'逐题结果'!J161</x:f>
        <x:v>1</x:v>
      </x:c>
      <x:c r="M60" s="10" t="n">
        <x:f>IF(K60=1,'逐题结果'!K161,"")</x:f>
        <x:v>55642671</x:v>
      </x:c>
      <x:c r="N60" s="13" t="str">
        <x:f>IF(G60=1,IF(L60=1,"两组均匹配","实验2丢失匹配"),IF(L60=1,"实验2新增匹配","两组均不匹配"))</x:f>
        <x:v>两组均匹配</x:v>
      </x:c>
      <x:c r="O60" s="2"/>
      <x:c r="P60" s="2"/>
    </x:row>
    <x:row r="61" ht="23" customHeight="1">
      <x:c r="A61" s="13" t="str">
        <x:f>'逐题结果'!B61</x:f>
        <x:v>OR-057</x:v>
      </x:c>
      <x:c r="B61" s="13" t="str">
        <x:f>'逐题结果'!C61</x:f>
        <x:v>RA</x:v>
      </x:c>
      <x:c r="C61" s="10" t="n">
        <x:f>'逐题结果'!L61</x:f>
        <x:v>12502</x:v>
      </x:c>
      <x:c r="D61" s="13" t="str">
        <x:f>'逐题结果'!D61</x:f>
        <x:v>RA</x:v>
      </x:c>
      <x:c r="E61" s="13" t="str">
        <x:f>'逐题结果'!E61</x:f>
        <x:v>RA</x:v>
      </x:c>
      <x:c r="F61" s="13" t="n">
        <x:f>'逐题结果'!I61</x:f>
        <x:v>0</x:v>
      </x:c>
      <x:c r="G61" s="13" t="n">
        <x:f>'逐题结果'!J61</x:f>
        <x:v>0</x:v>
      </x:c>
      <x:c r="H61" s="10" t="str">
        <x:f>IF(F61=1,'逐题结果'!K61,"")</x:f>
      </x:c>
      <x:c r="I61" s="13" t="str">
        <x:f>'逐题结果'!D162</x:f>
        <x:v>Others</x:v>
      </x:c>
      <x:c r="J61" s="13" t="str">
        <x:f>'逐题结果'!E162</x:f>
        <x:v>Others</x:v>
      </x:c>
      <x:c r="K61" s="13" t="n">
        <x:f>'逐题结果'!I162</x:f>
        <x:v>1</x:v>
      </x:c>
      <x:c r="L61" s="13" t="n">
        <x:f>'逐题结果'!J162</x:f>
        <x:v>1</x:v>
      </x:c>
      <x:c r="M61" s="10" t="n">
        <x:f>IF(K61=1,'逐题结果'!K162,"")</x:f>
        <x:v>12502</x:v>
      </x:c>
      <x:c r="N61" s="13" t="str">
        <x:f>IF(G61=1,IF(L61=1,"两组均匹配","实验2丢失匹配"),IF(L61=1,"实验2新增匹配","两组均不匹配"))</x:f>
        <x:v>实验2新增匹配</x:v>
      </x:c>
      <x:c r="O61" s="2" t="str">
        <x:v>TypeError</x:v>
      </x:c>
      <x:c r="P61" s="2"/>
    </x:row>
    <x:row r="62" ht="23" customHeight="1">
      <x:c r="A62" s="13" t="str">
        <x:f>'逐题结果'!B62</x:f>
        <x:v>OR-058</x:v>
      </x:c>
      <x:c r="B62" s="13" t="str">
        <x:f>'逐题结果'!C62</x:f>
        <x:v>FLP</x:v>
      </x:c>
      <x:c r="C62" s="10" t="n">
        <x:f>'逐题结果'!L62</x:f>
        <x:v>35950.65</x:v>
      </x:c>
      <x:c r="D62" s="13" t="str">
        <x:f>'逐题结果'!D62</x:f>
        <x:v>FLP</x:v>
      </x:c>
      <x:c r="E62" s="13" t="str">
        <x:f>'逐题结果'!E62</x:f>
        <x:v>FLP</x:v>
      </x:c>
      <x:c r="F62" s="13" t="n">
        <x:f>'逐题结果'!I62</x:f>
        <x:v>1</x:v>
      </x:c>
      <x:c r="G62" s="13" t="n">
        <x:f>'逐题结果'!J62</x:f>
        <x:v>1</x:v>
      </x:c>
      <x:c r="H62" s="10" t="n">
        <x:f>IF(F62=1,'逐题结果'!K62,"")</x:f>
        <x:v>35950.65</x:v>
      </x:c>
      <x:c r="I62" s="13" t="str">
        <x:f>'逐题结果'!D163</x:f>
        <x:v>Mixture</x:v>
      </x:c>
      <x:c r="J62" s="13" t="str">
        <x:f>'逐题结果'!E163</x:f>
        <x:v>Others</x:v>
      </x:c>
      <x:c r="K62" s="13" t="n">
        <x:f>'逐题结果'!I163</x:f>
        <x:v>1</x:v>
      </x:c>
      <x:c r="L62" s="13" t="n">
        <x:f>'逐题结果'!J163</x:f>
        <x:v>1</x:v>
      </x:c>
      <x:c r="M62" s="10" t="n">
        <x:f>IF(K62=1,'逐题结果'!K163,"")</x:f>
        <x:v>35950.649999999994</x:v>
      </x:c>
      <x:c r="N62" s="13" t="str">
        <x:f>IF(G62=1,IF(L62=1,"两组均匹配","实验2丢失匹配"),IF(L62=1,"实验2新增匹配","两组均不匹配"))</x:f>
        <x:v>两组均匹配</x:v>
      </x:c>
      <x:c r="O62" s="2"/>
      <x:c r="P62" s="2"/>
    </x:row>
    <x:row r="63" ht="23" customHeight="1">
      <x:c r="A63" s="13" t="str">
        <x:f>'逐题结果'!B63</x:f>
        <x:v>OR-059</x:v>
      </x:c>
      <x:c r="B63" s="13" t="str">
        <x:f>'逐题结果'!C63</x:f>
        <x:v>FLP</x:v>
      </x:c>
      <x:c r="C63" s="10" t="n">
        <x:f>'逐题结果'!L63</x:f>
        <x:v>1862205008487.07</x:v>
      </x:c>
      <x:c r="D63" s="13" t="str">
        <x:f>'逐题结果'!D63</x:f>
        <x:v>FLP</x:v>
      </x:c>
      <x:c r="E63" s="13" t="str">
        <x:f>'逐题结果'!E63</x:f>
        <x:v>FLP</x:v>
      </x:c>
      <x:c r="F63" s="13" t="n">
        <x:f>'逐题结果'!I63</x:f>
        <x:v>1</x:v>
      </x:c>
      <x:c r="G63" s="13" t="n">
        <x:f>'逐题结果'!J63</x:f>
        <x:v>1</x:v>
      </x:c>
      <x:c r="H63" s="10" t="n">
        <x:f>IF(F63=1,'逐题结果'!K63,"")</x:f>
        <x:v>1862205008776.5698</x:v>
      </x:c>
      <x:c r="I63" s="13" t="str">
        <x:f>'逐题结果'!D164</x:f>
        <x:v>Mixture</x:v>
      </x:c>
      <x:c r="J63" s="13" t="str">
        <x:f>'逐题结果'!E164</x:f>
        <x:v>Others</x:v>
      </x:c>
      <x:c r="K63" s="13" t="n">
        <x:f>'逐题结果'!I164</x:f>
        <x:v>1</x:v>
      </x:c>
      <x:c r="L63" s="13" t="n">
        <x:f>'逐题结果'!J164</x:f>
        <x:v>1</x:v>
      </x:c>
      <x:c r="M63" s="10" t="n">
        <x:f>IF(K63=1,'逐题结果'!K164,"")</x:f>
        <x:v>1862205008776.57</x:v>
      </x:c>
      <x:c r="N63" s="13" t="str">
        <x:f>IF(G63=1,IF(L63=1,"两组均匹配","实验2丢失匹配"),IF(L63=1,"实验2新增匹配","两组均不匹配"))</x:f>
        <x:v>两组均匹配</x:v>
      </x:c>
      <x:c r="O63" s="2"/>
      <x:c r="P63" s="2"/>
    </x:row>
    <x:row r="64" ht="23" customHeight="1">
      <x:c r="A64" s="13" t="str">
        <x:f>'逐题结果'!B64</x:f>
        <x:v>OR-060</x:v>
      </x:c>
      <x:c r="B64" s="13" t="str">
        <x:f>'逐题结果'!C64</x:f>
        <x:v>FLP</x:v>
      </x:c>
      <x:c r="C64" s="10" t="n">
        <x:f>'逐题结果'!L64</x:f>
        <x:v>8643.2</x:v>
      </x:c>
      <x:c r="D64" s="13" t="str">
        <x:f>'逐题结果'!D64</x:f>
        <x:v>FLP</x:v>
      </x:c>
      <x:c r="E64" s="13" t="str">
        <x:f>'逐题结果'!E64</x:f>
        <x:v>FLP</x:v>
      </x:c>
      <x:c r="F64" s="13" t="n">
        <x:f>'逐题结果'!I64</x:f>
        <x:v>1</x:v>
      </x:c>
      <x:c r="G64" s="13" t="n">
        <x:f>'逐题结果'!J64</x:f>
        <x:v>1</x:v>
      </x:c>
      <x:c r="H64" s="10" t="n">
        <x:f>IF(F64=1,'逐题结果'!K64,"")</x:f>
        <x:v>8643.199999999997</x:v>
      </x:c>
      <x:c r="I64" s="13" t="str">
        <x:f>'逐题结果'!D165</x:f>
        <x:v>Mixture</x:v>
      </x:c>
      <x:c r="J64" s="13" t="str">
        <x:f>'逐题结果'!E165</x:f>
        <x:v>Others</x:v>
      </x:c>
      <x:c r="K64" s="13" t="n">
        <x:f>'逐题结果'!I165</x:f>
        <x:v>1</x:v>
      </x:c>
      <x:c r="L64" s="13" t="n">
        <x:f>'逐题结果'!J165</x:f>
        <x:v>1</x:v>
      </x:c>
      <x:c r="M64" s="10" t="n">
        <x:f>IF(K64=1,'逐题结果'!K165,"")</x:f>
        <x:v>8643.2</x:v>
      </x:c>
      <x:c r="N64" s="13" t="str">
        <x:f>IF(G64=1,IF(L64=1,"两组均匹配","实验2丢失匹配"),IF(L64=1,"实验2新增匹配","两组均不匹配"))</x:f>
        <x:v>两组均匹配</x:v>
      </x:c>
      <x:c r="O64" s="2"/>
      <x:c r="P64" s="2"/>
    </x:row>
    <x:row r="65" ht="23" customHeight="1">
      <x:c r="A65" s="13" t="str">
        <x:f>'逐题结果'!B65</x:f>
        <x:v>OR-061</x:v>
      </x:c>
      <x:c r="B65" s="13" t="str">
        <x:f>'逐题结果'!C65</x:f>
        <x:v>FLP</x:v>
      </x:c>
      <x:c r="C65" s="10" t="n">
        <x:f>'逐题结果'!L65</x:f>
        <x:v>10199.96</x:v>
      </x:c>
      <x:c r="D65" s="13" t="str">
        <x:f>'逐题结果'!D65</x:f>
        <x:v>FLP</x:v>
      </x:c>
      <x:c r="E65" s="13" t="str">
        <x:f>'逐题结果'!E65</x:f>
        <x:v>FLP</x:v>
      </x:c>
      <x:c r="F65" s="13" t="n">
        <x:f>'逐题结果'!I65</x:f>
        <x:v>1</x:v>
      </x:c>
      <x:c r="G65" s="13" t="n">
        <x:f>'逐题结果'!J65</x:f>
        <x:v>1</x:v>
      </x:c>
      <x:c r="H65" s="10" t="n">
        <x:f>IF(F65=1,'逐题结果'!K65,"")</x:f>
        <x:v>10199.96</x:v>
      </x:c>
      <x:c r="I65" s="13" t="str">
        <x:f>'逐题结果'!D166</x:f>
        <x:v>Mixture</x:v>
      </x:c>
      <x:c r="J65" s="13" t="str">
        <x:f>'逐题结果'!E166</x:f>
        <x:v>Others</x:v>
      </x:c>
      <x:c r="K65" s="13" t="n">
        <x:f>'逐题结果'!I166</x:f>
        <x:v>1</x:v>
      </x:c>
      <x:c r="L65" s="13" t="n">
        <x:f>'逐题结果'!J166</x:f>
        <x:v>1</x:v>
      </x:c>
      <x:c r="M65" s="10" t="n">
        <x:f>IF(K65=1,'逐题结果'!K166,"")</x:f>
        <x:v>10199.960000000001</x:v>
      </x:c>
      <x:c r="N65" s="13" t="str">
        <x:f>IF(G65=1,IF(L65=1,"两组均匹配","实验2丢失匹配"),IF(L65=1,"实验2新增匹配","两组均不匹配"))</x:f>
        <x:v>两组均匹配</x:v>
      </x:c>
      <x:c r="O65" s="2"/>
      <x:c r="P65" s="2"/>
    </x:row>
    <x:row r="66" ht="23" customHeight="1">
      <x:c r="A66" s="13" t="str">
        <x:f>'逐题结果'!B66</x:f>
        <x:v>OR-062</x:v>
      </x:c>
      <x:c r="B66" s="13" t="str">
        <x:f>'逐题结果'!C66</x:f>
        <x:v>FLP</x:v>
      </x:c>
      <x:c r="C66" s="10" t="n">
        <x:f>'逐题结果'!L66</x:f>
        <x:v>172612.46</x:v>
      </x:c>
      <x:c r="D66" s="13" t="str">
        <x:f>'逐题结果'!D66</x:f>
        <x:v>FLP</x:v>
      </x:c>
      <x:c r="E66" s="13" t="str">
        <x:f>'逐题结果'!E66</x:f>
        <x:v>FLP</x:v>
      </x:c>
      <x:c r="F66" s="13" t="n">
        <x:f>'逐题结果'!I66</x:f>
        <x:v>1</x:v>
      </x:c>
      <x:c r="G66" s="13" t="n">
        <x:f>'逐题结果'!J66</x:f>
        <x:v>1</x:v>
      </x:c>
      <x:c r="H66" s="10" t="n">
        <x:f>IF(F66=1,'逐题结果'!K66,"")</x:f>
        <x:v>172612.46</x:v>
      </x:c>
      <x:c r="I66" s="13" t="str">
        <x:f>'逐题结果'!D167</x:f>
        <x:v>Mixture</x:v>
      </x:c>
      <x:c r="J66" s="13" t="str">
        <x:f>'逐题结果'!E167</x:f>
        <x:v>Others</x:v>
      </x:c>
      <x:c r="K66" s="13" t="n">
        <x:f>'逐题结果'!I167</x:f>
        <x:v>1</x:v>
      </x:c>
      <x:c r="L66" s="13" t="n">
        <x:f>'逐题结果'!J167</x:f>
        <x:v>1</x:v>
      </x:c>
      <x:c r="M66" s="10" t="n">
        <x:f>IF(K66=1,'逐题结果'!K167,"")</x:f>
        <x:v>172612.46</x:v>
      </x:c>
      <x:c r="N66" s="13" t="str">
        <x:f>IF(G66=1,IF(L66=1,"两组均匹配","实验2丢失匹配"),IF(L66=1,"实验2新增匹配","两组均不匹配"))</x:f>
        <x:v>两组均匹配</x:v>
      </x:c>
      <x:c r="O66" s="2"/>
      <x:c r="P66" s="2"/>
    </x:row>
    <x:row r="67" ht="23" customHeight="1">
      <x:c r="A67" s="13" t="str">
        <x:f>'逐题结果'!B67</x:f>
        <x:v>OR-063</x:v>
      </x:c>
      <x:c r="B67" s="13" t="str">
        <x:f>'逐题结果'!C67</x:f>
        <x:v>FLP</x:v>
      </x:c>
      <x:c r="C67" s="10" t="n">
        <x:f>'逐题结果'!L67</x:f>
        <x:v>778095.44</x:v>
      </x:c>
      <x:c r="D67" s="13" t="str">
        <x:f>'逐题结果'!D67</x:f>
        <x:v>FLP</x:v>
      </x:c>
      <x:c r="E67" s="13" t="str">
        <x:f>'逐题结果'!E67</x:f>
        <x:v>FLP</x:v>
      </x:c>
      <x:c r="F67" s="13" t="n">
        <x:f>'逐题结果'!I67</x:f>
        <x:v>1</x:v>
      </x:c>
      <x:c r="G67" s="13" t="n">
        <x:f>'逐题结果'!J67</x:f>
        <x:v>1</x:v>
      </x:c>
      <x:c r="H67" s="10" t="n">
        <x:f>IF(F67=1,'逐题结果'!K67,"")</x:f>
        <x:v>778095.4400000001</x:v>
      </x:c>
      <x:c r="I67" s="13" t="str">
        <x:f>'逐题结果'!D168</x:f>
        <x:v>Mixture</x:v>
      </x:c>
      <x:c r="J67" s="13" t="str">
        <x:f>'逐题结果'!E168</x:f>
        <x:v>Others</x:v>
      </x:c>
      <x:c r="K67" s="13" t="n">
        <x:f>'逐题结果'!I168</x:f>
        <x:v>1</x:v>
      </x:c>
      <x:c r="L67" s="13" t="n">
        <x:f>'逐题结果'!J168</x:f>
        <x:v>1</x:v>
      </x:c>
      <x:c r="M67" s="10" t="n">
        <x:f>IF(K67=1,'逐题结果'!K168,"")</x:f>
        <x:v>778095.44</x:v>
      </x:c>
      <x:c r="N67" s="13" t="str">
        <x:f>IF(G67=1,IF(L67=1,"两组均匹配","实验2丢失匹配"),IF(L67=1,"实验2新增匹配","两组均不匹配"))</x:f>
        <x:v>两组均匹配</x:v>
      </x:c>
      <x:c r="O67" s="2"/>
      <x:c r="P67" s="2"/>
    </x:row>
    <x:row r="68" ht="23" customHeight="1">
      <x:c r="A68" s="13" t="str">
        <x:f>'逐题结果'!B68</x:f>
        <x:v>OR-064</x:v>
      </x:c>
      <x:c r="B68" s="13" t="str">
        <x:f>'逐题结果'!C68</x:f>
        <x:v>FLP</x:v>
      </x:c>
      <x:c r="C68" s="10" t="n">
        <x:f>'逐题结果'!L68</x:f>
        <x:v>18461.11</x:v>
      </x:c>
      <x:c r="D68" s="13" t="str">
        <x:f>'逐题结果'!D68</x:f>
        <x:v>FLP</x:v>
      </x:c>
      <x:c r="E68" s="13" t="str">
        <x:f>'逐题结果'!E68</x:f>
        <x:v>FLP</x:v>
      </x:c>
      <x:c r="F68" s="13" t="n">
        <x:f>'逐题结果'!I68</x:f>
        <x:v>1</x:v>
      </x:c>
      <x:c r="G68" s="13" t="n">
        <x:f>'逐题结果'!J68</x:f>
        <x:v>1</x:v>
      </x:c>
      <x:c r="H68" s="10" t="n">
        <x:f>IF(F68=1,'逐题结果'!K68,"")</x:f>
        <x:v>18461.11</x:v>
      </x:c>
      <x:c r="I68" s="13" t="str">
        <x:f>'逐题结果'!D169</x:f>
        <x:v>Mixture</x:v>
      </x:c>
      <x:c r="J68" s="13" t="str">
        <x:f>'逐题结果'!E169</x:f>
        <x:v>Others</x:v>
      </x:c>
      <x:c r="K68" s="13" t="n">
        <x:f>'逐题结果'!I169</x:f>
        <x:v>1</x:v>
      </x:c>
      <x:c r="L68" s="13" t="n">
        <x:f>'逐题结果'!J169</x:f>
        <x:v>1</x:v>
      </x:c>
      <x:c r="M68" s="10" t="n">
        <x:f>IF(K68=1,'逐题结果'!K169,"")</x:f>
        <x:v>18461.11</x:v>
      </x:c>
      <x:c r="N68" s="13" t="str">
        <x:f>IF(G68=1,IF(L68=1,"两组均匹配","实验2丢失匹配"),IF(L68=1,"实验2新增匹配","两组均不匹配"))</x:f>
        <x:v>两组均匹配</x:v>
      </x:c>
      <x:c r="O68" s="2"/>
      <x:c r="P68" s="2"/>
    </x:row>
    <x:row r="69" ht="23" customHeight="1">
      <x:c r="A69" s="13" t="str">
        <x:f>'逐题结果'!B69</x:f>
        <x:v>OR-065</x:v>
      </x:c>
      <x:c r="B69" s="13" t="str">
        <x:f>'逐题结果'!C69</x:f>
        <x:v>FLP</x:v>
      </x:c>
      <x:c r="C69" s="10" t="n">
        <x:f>'逐题结果'!L69</x:f>
        <x:v>317318.5</x:v>
      </x:c>
      <x:c r="D69" s="13" t="str">
        <x:f>'逐题结果'!D69</x:f>
        <x:v>FLP</x:v>
      </x:c>
      <x:c r="E69" s="13" t="str">
        <x:f>'逐题结果'!E69</x:f>
        <x:v>FLP</x:v>
      </x:c>
      <x:c r="F69" s="13" t="n">
        <x:f>'逐题结果'!I69</x:f>
        <x:v>1</x:v>
      </x:c>
      <x:c r="G69" s="13" t="n">
        <x:f>'逐题结果'!J69</x:f>
        <x:v>1</x:v>
      </x:c>
      <x:c r="H69" s="10" t="n">
        <x:f>IF(F69=1,'逐题结果'!K69,"")</x:f>
        <x:v>317318.5</x:v>
      </x:c>
      <x:c r="I69" s="13" t="str">
        <x:f>'逐题结果'!D170</x:f>
        <x:v>Mixture</x:v>
      </x:c>
      <x:c r="J69" s="13" t="str">
        <x:f>'逐题结果'!E170</x:f>
        <x:v>Others</x:v>
      </x:c>
      <x:c r="K69" s="13" t="n">
        <x:f>'逐题结果'!I170</x:f>
        <x:v>1</x:v>
      </x:c>
      <x:c r="L69" s="13" t="n">
        <x:f>'逐题结果'!J170</x:f>
        <x:v>1</x:v>
      </x:c>
      <x:c r="M69" s="10" t="n">
        <x:f>IF(K69=1,'逐题结果'!K170,"")</x:f>
        <x:v>317318.5</x:v>
      </x:c>
      <x:c r="N69" s="13" t="str">
        <x:f>IF(G69=1,IF(L69=1,"两组均匹配","实验2丢失匹配"),IF(L69=1,"实验2新增匹配","两组均不匹配"))</x:f>
        <x:v>两组均匹配</x:v>
      </x:c>
      <x:c r="O69" s="2"/>
      <x:c r="P69" s="2"/>
    </x:row>
    <x:row r="70" ht="23" customHeight="1">
      <x:c r="A70" s="13" t="str">
        <x:f>'逐题结果'!B70</x:f>
        <x:v>OR-066</x:v>
      </x:c>
      <x:c r="B70" s="13" t="str">
        <x:f>'逐题结果'!C70</x:f>
        <x:v>FLP</x:v>
      </x:c>
      <x:c r="C70" s="10" t="n">
        <x:f>'逐题结果'!L70</x:f>
        <x:v>11396.51</x:v>
      </x:c>
      <x:c r="D70" s="13" t="str">
        <x:f>'逐题结果'!D70</x:f>
        <x:v>FLP</x:v>
      </x:c>
      <x:c r="E70" s="13" t="str">
        <x:f>'逐题结果'!E70</x:f>
        <x:v>FLP</x:v>
      </x:c>
      <x:c r="F70" s="13" t="n">
        <x:f>'逐题结果'!I70</x:f>
        <x:v>1</x:v>
      </x:c>
      <x:c r="G70" s="13" t="n">
        <x:f>'逐题结果'!J70</x:f>
        <x:v>1</x:v>
      </x:c>
      <x:c r="H70" s="10" t="n">
        <x:f>IF(F70=1,'逐题结果'!K70,"")</x:f>
        <x:v>11396.51</x:v>
      </x:c>
      <x:c r="I70" s="13" t="str">
        <x:f>'逐题结果'!D171</x:f>
        <x:v>Mixture</x:v>
      </x:c>
      <x:c r="J70" s="13" t="str">
        <x:f>'逐题结果'!E171</x:f>
        <x:v>Others</x:v>
      </x:c>
      <x:c r="K70" s="13" t="n">
        <x:f>'逐题结果'!I171</x:f>
        <x:v>1</x:v>
      </x:c>
      <x:c r="L70" s="13" t="n">
        <x:f>'逐题结果'!J171</x:f>
        <x:v>1</x:v>
      </x:c>
      <x:c r="M70" s="10" t="n">
        <x:f>IF(K70=1,'逐题结果'!K171,"")</x:f>
        <x:v>11396.51</x:v>
      </x:c>
      <x:c r="N70" s="13" t="str">
        <x:f>IF(G70=1,IF(L70=1,"两组均匹配","实验2丢失匹配"),IF(L70=1,"实验2新增匹配","两组均不匹配"))</x:f>
        <x:v>两组均匹配</x:v>
      </x:c>
      <x:c r="O70" s="2"/>
      <x:c r="P70" s="2"/>
    </x:row>
    <x:row r="71" ht="23" customHeight="1">
      <x:c r="A71" s="13" t="str">
        <x:f>'逐题结果'!B71</x:f>
        <x:v>OR-067</x:v>
      </x:c>
      <x:c r="B71" s="13" t="str">
        <x:f>'逐题结果'!C71</x:f>
        <x:v>AP</x:v>
      </x:c>
      <x:c r="C71" s="10" t="n">
        <x:f>'逐题结果'!L71</x:f>
        <x:v>9000</x:v>
      </x:c>
      <x:c r="D71" s="13" t="str">
        <x:f>'逐题结果'!D71</x:f>
        <x:v>AP</x:v>
      </x:c>
      <x:c r="E71" s="13" t="str">
        <x:f>'逐题结果'!E71</x:f>
        <x:v>AP</x:v>
      </x:c>
      <x:c r="F71" s="13" t="n">
        <x:f>'逐题结果'!I71</x:f>
        <x:v>1</x:v>
      </x:c>
      <x:c r="G71" s="13" t="n">
        <x:f>'逐题结果'!J71</x:f>
        <x:v>1</x:v>
      </x:c>
      <x:c r="H71" s="10" t="n">
        <x:f>IF(F71=1,'逐题结果'!K71,"")</x:f>
        <x:v>9000</x:v>
      </x:c>
      <x:c r="I71" s="13" t="str">
        <x:f>'逐题结果'!D172</x:f>
        <x:v>Others</x:v>
      </x:c>
      <x:c r="J71" s="13" t="str">
        <x:f>'逐题结果'!E172</x:f>
        <x:v>Others</x:v>
      </x:c>
      <x:c r="K71" s="13" t="n">
        <x:f>'逐题结果'!I172</x:f>
        <x:v>1</x:v>
      </x:c>
      <x:c r="L71" s="13" t="n">
        <x:f>'逐题结果'!J172</x:f>
        <x:v>1</x:v>
      </x:c>
      <x:c r="M71" s="10" t="n">
        <x:f>IF(K71=1,'逐题结果'!K172,"")</x:f>
        <x:v>9000</x:v>
      </x:c>
      <x:c r="N71" s="13" t="str">
        <x:f>IF(G71=1,IF(L71=1,"两组均匹配","实验2丢失匹配"),IF(L71=1,"实验2新增匹配","两组均不匹配"))</x:f>
        <x:v>两组均匹配</x:v>
      </x:c>
      <x:c r="O71" s="2"/>
      <x:c r="P71" s="2"/>
    </x:row>
    <x:row r="72" ht="23" customHeight="1">
      <x:c r="A72" s="13" t="str">
        <x:f>'逐题结果'!B72</x:f>
        <x:v>OR-068</x:v>
      </x:c>
      <x:c r="B72" s="13" t="str">
        <x:f>'逐题结果'!C72</x:f>
        <x:v>AP</x:v>
      </x:c>
      <x:c r="C72" s="10" t="n">
        <x:f>'逐题结果'!L72</x:f>
        <x:v>9089</x:v>
      </x:c>
      <x:c r="D72" s="13" t="str">
        <x:f>'逐题结果'!D72</x:f>
        <x:v>AP</x:v>
      </x:c>
      <x:c r="E72" s="13" t="str">
        <x:f>'逐题结果'!E72</x:f>
        <x:v>AP</x:v>
      </x:c>
      <x:c r="F72" s="13" t="n">
        <x:f>'逐题结果'!I72</x:f>
        <x:v>1</x:v>
      </x:c>
      <x:c r="G72" s="13" t="n">
        <x:f>'逐题结果'!J72</x:f>
        <x:v>1</x:v>
      </x:c>
      <x:c r="H72" s="10" t="n">
        <x:f>IF(F72=1,'逐题结果'!K72,"")</x:f>
        <x:v>9089</x:v>
      </x:c>
      <x:c r="I72" s="13" t="str">
        <x:f>'逐题结果'!D173</x:f>
        <x:v>Others</x:v>
      </x:c>
      <x:c r="J72" s="13" t="str">
        <x:f>'逐题结果'!E173</x:f>
        <x:v>Others</x:v>
      </x:c>
      <x:c r="K72" s="13" t="n">
        <x:f>'逐题结果'!I173</x:f>
        <x:v>1</x:v>
      </x:c>
      <x:c r="L72" s="13" t="n">
        <x:f>'逐题结果'!J173</x:f>
        <x:v>1</x:v>
      </x:c>
      <x:c r="M72" s="10" t="n">
        <x:f>IF(K72=1,'逐题结果'!K173,"")</x:f>
        <x:v>9089</x:v>
      </x:c>
      <x:c r="N72" s="13" t="str">
        <x:f>IF(G72=1,IF(L72=1,"两组均匹配","实验2丢失匹配"),IF(L72=1,"实验2新增匹配","两组均不匹配"))</x:f>
        <x:v>两组均匹配</x:v>
      </x:c>
      <x:c r="O72" s="2"/>
      <x:c r="P72" s="2"/>
    </x:row>
    <x:row r="73" ht="23" customHeight="1">
      <x:c r="A73" s="13" t="str">
        <x:f>'逐题结果'!B73</x:f>
        <x:v>OR-069</x:v>
      </x:c>
      <x:c r="B73" s="13" t="str">
        <x:f>'逐题结果'!C73</x:f>
        <x:v>AP</x:v>
      </x:c>
      <x:c r="C73" s="10" t="n">
        <x:f>'逐题结果'!L73</x:f>
        <x:v>4903</x:v>
      </x:c>
      <x:c r="D73" s="13" t="str">
        <x:f>'逐题结果'!D73</x:f>
        <x:v>AP</x:v>
      </x:c>
      <x:c r="E73" s="13" t="str">
        <x:f>'逐题结果'!E73</x:f>
        <x:v>AP</x:v>
      </x:c>
      <x:c r="F73" s="13" t="n">
        <x:f>'逐题结果'!I73</x:f>
        <x:v>1</x:v>
      </x:c>
      <x:c r="G73" s="13" t="n">
        <x:f>'逐题结果'!J73</x:f>
        <x:v>1</x:v>
      </x:c>
      <x:c r="H73" s="10" t="n">
        <x:f>IF(F73=1,'逐题结果'!K73,"")</x:f>
        <x:v>4903</x:v>
      </x:c>
      <x:c r="I73" s="13" t="str">
        <x:f>'逐题结果'!D174</x:f>
        <x:v>Others</x:v>
      </x:c>
      <x:c r="J73" s="13" t="str">
        <x:f>'逐题结果'!E174</x:f>
        <x:v>Others</x:v>
      </x:c>
      <x:c r="K73" s="13" t="n">
        <x:f>'逐题结果'!I174</x:f>
        <x:v>1</x:v>
      </x:c>
      <x:c r="L73" s="13" t="n">
        <x:f>'逐题结果'!J174</x:f>
        <x:v>1</x:v>
      </x:c>
      <x:c r="M73" s="10" t="n">
        <x:f>IF(K73=1,'逐题结果'!K174,"")</x:f>
        <x:v>4903</x:v>
      </x:c>
      <x:c r="N73" s="13" t="str">
        <x:f>IF(G73=1,IF(L73=1,"两组均匹配","实验2丢失匹配"),IF(L73=1,"实验2新增匹配","两组均不匹配"))</x:f>
        <x:v>两组均匹配</x:v>
      </x:c>
      <x:c r="O73" s="2"/>
      <x:c r="P73" s="2"/>
    </x:row>
    <x:row r="74" ht="23" customHeight="1">
      <x:c r="A74" s="13" t="str">
        <x:f>'逐题结果'!B74</x:f>
        <x:v>OR-070</x:v>
      </x:c>
      <x:c r="B74" s="13" t="str">
        <x:f>'逐题结果'!C74</x:f>
        <x:v>AP</x:v>
      </x:c>
      <x:c r="C74" s="10" t="n">
        <x:f>'逐题结果'!L74</x:f>
        <x:v>8809</x:v>
      </x:c>
      <x:c r="D74" s="13" t="str">
        <x:f>'逐题结果'!D74</x:f>
        <x:v>AP</x:v>
      </x:c>
      <x:c r="E74" s="13" t="str">
        <x:f>'逐题结果'!E74</x:f>
        <x:v>AP</x:v>
      </x:c>
      <x:c r="F74" s="13" t="n">
        <x:f>'逐题结果'!I74</x:f>
        <x:v>1</x:v>
      </x:c>
      <x:c r="G74" s="13" t="n">
        <x:f>'逐题结果'!J74</x:f>
        <x:v>1</x:v>
      </x:c>
      <x:c r="H74" s="10" t="n">
        <x:f>IF(F74=1,'逐题结果'!K74,"")</x:f>
        <x:v>8809</x:v>
      </x:c>
      <x:c r="I74" s="13" t="str">
        <x:f>'逐题结果'!D175</x:f>
        <x:v>Others</x:v>
      </x:c>
      <x:c r="J74" s="13" t="str">
        <x:f>'逐题结果'!E175</x:f>
        <x:v>Others</x:v>
      </x:c>
      <x:c r="K74" s="13" t="n">
        <x:f>'逐题结果'!I175</x:f>
        <x:v>1</x:v>
      </x:c>
      <x:c r="L74" s="13" t="n">
        <x:f>'逐题结果'!J175</x:f>
        <x:v>1</x:v>
      </x:c>
      <x:c r="M74" s="10" t="n">
        <x:f>IF(K74=1,'逐题结果'!K175,"")</x:f>
        <x:v>8809</x:v>
      </x:c>
      <x:c r="N74" s="13" t="str">
        <x:f>IF(G74=1,IF(L74=1,"两组均匹配","实验2丢失匹配"),IF(L74=1,"实验2新增匹配","两组均不匹配"))</x:f>
        <x:v>两组均匹配</x:v>
      </x:c>
      <x:c r="O74" s="2"/>
      <x:c r="P74" s="2"/>
    </x:row>
    <x:row r="75" ht="23" customHeight="1">
      <x:c r="A75" s="13" t="str">
        <x:f>'逐题结果'!B75</x:f>
        <x:v>OR-071</x:v>
      </x:c>
      <x:c r="B75" s="13" t="str">
        <x:f>'逐题结果'!C75</x:f>
        <x:v>Mixture</x:v>
      </x:c>
      <x:c r="C75" s="10" t="n">
        <x:f>'逐题结果'!L75</x:f>
        <x:v>24877.39</x:v>
      </x:c>
      <x:c r="D75" s="13" t="str">
        <x:f>'逐题结果'!D75</x:f>
        <x:v>RA</x:v>
      </x:c>
      <x:c r="E75" s="13" t="str">
        <x:f>'逐题结果'!E75</x:f>
        <x:v>RA</x:v>
      </x:c>
      <x:c r="F75" s="13" t="n">
        <x:f>'逐题结果'!I75</x:f>
        <x:v>1</x:v>
      </x:c>
      <x:c r="G75" s="13" t="n">
        <x:f>'逐题结果'!J75</x:f>
        <x:v>1</x:v>
      </x:c>
      <x:c r="H75" s="10" t="n">
        <x:f>IF(F75=1,'逐题结果'!K75,"")</x:f>
        <x:v>24877.394636015328</x:v>
      </x:c>
      <x:c r="I75" s="13" t="str">
        <x:f>'逐题结果'!D176</x:f>
        <x:v>RA</x:v>
      </x:c>
      <x:c r="J75" s="13" t="str">
        <x:f>'逐题结果'!E176</x:f>
        <x:v>RA</x:v>
      </x:c>
      <x:c r="K75" s="13" t="n">
        <x:f>'逐题结果'!I176</x:f>
        <x:v>1</x:v>
      </x:c>
      <x:c r="L75" s="13" t="n">
        <x:f>'逐题结果'!J176</x:f>
        <x:v>1</x:v>
      </x:c>
      <x:c r="M75" s="10" t="n">
        <x:f>IF(K75=1,'逐题结果'!K176,"")</x:f>
        <x:v>24877.394636015328</x:v>
      </x:c>
      <x:c r="N75" s="13" t="str">
        <x:f>IF(G75=1,IF(L75=1,"两组均匹配","实验2丢失匹配"),IF(L75=1,"实验2新增匹配","两组均不匹配"))</x:f>
        <x:v>两组均匹配</x:v>
      </x:c>
      <x:c r="O75" s="2"/>
      <x:c r="P75" s="2"/>
    </x:row>
    <x:row r="76" ht="23" customHeight="1">
      <x:c r="A76" s="13" t="str">
        <x:f>'逐题结果'!B76</x:f>
        <x:v>OR-072</x:v>
      </x:c>
      <x:c r="B76" s="13" t="str">
        <x:f>'逐题结果'!C76</x:f>
        <x:v>Others</x:v>
      </x:c>
      <x:c r="C76" s="10" t="n">
        <x:f>'逐题结果'!L76</x:f>
        <x:v>320</x:v>
      </x:c>
      <x:c r="D76" s="13" t="str">
        <x:f>'逐题结果'!D76</x:f>
        <x:v>Others</x:v>
      </x:c>
      <x:c r="E76" s="13" t="str">
        <x:f>'逐题结果'!E76</x:f>
        <x:v>Others</x:v>
      </x:c>
      <x:c r="F76" s="13" t="n">
        <x:f>'逐题结果'!I76</x:f>
        <x:v>1</x:v>
      </x:c>
      <x:c r="G76" s="13" t="n">
        <x:f>'逐题结果'!J76</x:f>
        <x:v>1</x:v>
      </x:c>
      <x:c r="H76" s="10" t="n">
        <x:f>IF(F76=1,'逐题结果'!K76,"")</x:f>
        <x:v>320</x:v>
      </x:c>
      <x:c r="I76" s="13" t="str">
        <x:f>'逐题结果'!D177</x:f>
        <x:v>RA</x:v>
      </x:c>
      <x:c r="J76" s="13" t="str">
        <x:f>'逐题结果'!E177</x:f>
        <x:v>RA</x:v>
      </x:c>
      <x:c r="K76" s="13" t="n">
        <x:f>'逐题结果'!I177</x:f>
        <x:v>1</x:v>
      </x:c>
      <x:c r="L76" s="13" t="n">
        <x:f>'逐题结果'!J177</x:f>
        <x:v>1</x:v>
      </x:c>
      <x:c r="M76" s="10" t="n">
        <x:f>IF(K76=1,'逐题结果'!K177,"")</x:f>
        <x:v>320</x:v>
      </x:c>
      <x:c r="N76" s="13" t="str">
        <x:f>IF(G76=1,IF(L76=1,"两组均匹配","实验2丢失匹配"),IF(L76=1,"实验2新增匹配","两组均不匹配"))</x:f>
        <x:v>两组均匹配</x:v>
      </x:c>
      <x:c r="O76" s="2"/>
      <x:c r="P76" s="2"/>
    </x:row>
    <x:row r="77" ht="23" customHeight="1">
      <x:c r="A77" s="13" t="str">
        <x:f>'逐题结果'!B77</x:f>
        <x:v>OR-073</x:v>
      </x:c>
      <x:c r="B77" s="13" t="str">
        <x:f>'逐题结果'!C77</x:f>
        <x:v>Mixture</x:v>
      </x:c>
      <x:c r="C77" s="10" t="n">
        <x:f>'逐题结果'!L77</x:f>
        <x:v>1146.57</x:v>
      </x:c>
      <x:c r="D77" s="13" t="str">
        <x:f>'逐题结果'!D77</x:f>
        <x:v>Mixture</x:v>
      </x:c>
      <x:c r="E77" s="13" t="str">
        <x:f>'逐题结果'!E77</x:f>
        <x:v>Others</x:v>
      </x:c>
      <x:c r="F77" s="13" t="n">
        <x:f>'逐题结果'!I77</x:f>
        <x:v>1</x:v>
      </x:c>
      <x:c r="G77" s="13" t="n">
        <x:f>'逐题结果'!J77</x:f>
        <x:v>1</x:v>
      </x:c>
      <x:c r="H77" s="10" t="n">
        <x:f>IF(F77=1,'逐题结果'!K77,"")</x:f>
        <x:v>1146.5665024630537</x:v>
      </x:c>
      <x:c r="I77" s="13" t="str">
        <x:f>'逐题结果'!D178</x:f>
        <x:v>RA</x:v>
      </x:c>
      <x:c r="J77" s="13" t="str">
        <x:f>'逐题结果'!E178</x:f>
        <x:v>RA</x:v>
      </x:c>
      <x:c r="K77" s="13" t="n">
        <x:f>'逐题结果'!I178</x:f>
        <x:v>1</x:v>
      </x:c>
      <x:c r="L77" s="13" t="n">
        <x:f>'逐题结果'!J178</x:f>
        <x:v>0</x:v>
      </x:c>
      <x:c r="M77" s="10" t="n">
        <x:f>IF(K77=1,'逐题结果'!K178,"")</x:f>
        <x:v>2480.6953201970446</x:v>
      </x:c>
      <x:c r="N77" s="13" t="str">
        <x:f>IF(G77=1,IF(L77=1,"两组均匹配","实验2丢失匹配"),IF(L77=1,"实验2新增匹配","两组均不匹配"))</x:f>
        <x:v>实验2丢失匹配</x:v>
      </x:c>
      <x:c r="O77" s="2"/>
      <x:c r="P77" s="2"/>
    </x:row>
    <x:row r="78" ht="23" customHeight="1">
      <x:c r="A78" s="13" t="str">
        <x:f>'逐题结果'!B78</x:f>
        <x:v>OR-074</x:v>
      </x:c>
      <x:c r="B78" s="13" t="str">
        <x:f>'逐题结果'!C78</x:f>
        <x:v>Others</x:v>
      </x:c>
      <x:c r="C78" s="10" t="n">
        <x:f>'逐题结果'!L78</x:f>
        <x:v>25</x:v>
      </x:c>
      <x:c r="D78" s="13" t="str">
        <x:f>'逐题结果'!D78</x:f>
        <x:v>Others</x:v>
      </x:c>
      <x:c r="E78" s="13" t="str">
        <x:f>'逐题结果'!E78</x:f>
        <x:v>Others</x:v>
      </x:c>
      <x:c r="F78" s="13" t="n">
        <x:f>'逐题结果'!I78</x:f>
        <x:v>1</x:v>
      </x:c>
      <x:c r="G78" s="13" t="n">
        <x:f>'逐题结果'!J78</x:f>
        <x:v>1</x:v>
      </x:c>
      <x:c r="H78" s="10" t="n">
        <x:f>IF(F78=1,'逐题结果'!K78,"")</x:f>
        <x:v>25</x:v>
      </x:c>
      <x:c r="I78" s="13" t="str">
        <x:f>'逐题结果'!D179</x:f>
        <x:v>RA</x:v>
      </x:c>
      <x:c r="J78" s="13" t="str">
        <x:f>'逐题结果'!E179</x:f>
        <x:v>RA</x:v>
      </x:c>
      <x:c r="K78" s="13" t="n">
        <x:f>'逐题结果'!I179</x:f>
        <x:v>1</x:v>
      </x:c>
      <x:c r="L78" s="13" t="n">
        <x:f>'逐题结果'!J179</x:f>
        <x:v>1</x:v>
      </x:c>
      <x:c r="M78" s="10" t="n">
        <x:f>IF(K78=1,'逐题结果'!K179,"")</x:f>
        <x:v>25</x:v>
      </x:c>
      <x:c r="N78" s="13" t="str">
        <x:f>IF(G78=1,IF(L78=1,"两组均匹配","实验2丢失匹配"),IF(L78=1,"实验2新增匹配","两组均不匹配"))</x:f>
        <x:v>两组均匹配</x:v>
      </x:c>
      <x:c r="O78" s="2"/>
      <x:c r="P78" s="2"/>
    </x:row>
    <x:row r="79" ht="23" customHeight="1">
      <x:c r="A79" s="13" t="str">
        <x:f>'逐题结果'!B79</x:f>
        <x:v>OR-075</x:v>
      </x:c>
      <x:c r="B79" s="13" t="str">
        <x:f>'逐题结果'!C79</x:f>
        <x:v>Mixture</x:v>
      </x:c>
      <x:c r="C79" s="10" t="n">
        <x:f>'逐题结果'!L79</x:f>
        <x:v>1514</x:v>
      </x:c>
      <x:c r="D79" s="13" t="str">
        <x:f>'逐题结果'!D79</x:f>
        <x:v>Mixture</x:v>
      </x:c>
      <x:c r="E79" s="13" t="str">
        <x:f>'逐题结果'!E79</x:f>
        <x:v>Others</x:v>
      </x:c>
      <x:c r="F79" s="13" t="n">
        <x:f>'逐题结果'!I79</x:f>
        <x:v>1</x:v>
      </x:c>
      <x:c r="G79" s="13" t="n">
        <x:f>'逐题结果'!J79</x:f>
        <x:v>1</x:v>
      </x:c>
      <x:c r="H79" s="10" t="n">
        <x:f>IF(F79=1,'逐题结果'!K79,"")</x:f>
        <x:v>1514</x:v>
      </x:c>
      <x:c r="I79" s="13" t="str">
        <x:f>'逐题结果'!D180</x:f>
        <x:v>RA</x:v>
      </x:c>
      <x:c r="J79" s="13" t="str">
        <x:f>'逐题结果'!E180</x:f>
        <x:v>RA</x:v>
      </x:c>
      <x:c r="K79" s="13" t="n">
        <x:f>'逐题结果'!I180</x:f>
        <x:v>1</x:v>
      </x:c>
      <x:c r="L79" s="13" t="n">
        <x:f>'逐题结果'!J180</x:f>
        <x:v>1</x:v>
      </x:c>
      <x:c r="M79" s="10" t="n">
        <x:f>IF(K79=1,'逐题结果'!K180,"")</x:f>
        <x:v>1514</x:v>
      </x:c>
      <x:c r="N79" s="13" t="str">
        <x:f>IF(G79=1,IF(L79=1,"两组均匹配","实验2丢失匹配"),IF(L79=1,"实验2新增匹配","两组均不匹配"))</x:f>
        <x:v>两组均匹配</x:v>
      </x:c>
      <x:c r="O79" s="2"/>
      <x:c r="P79" s="2"/>
    </x:row>
    <x:row r="80" ht="23" customHeight="1">
      <x:c r="A80" s="13" t="str">
        <x:f>'逐题结果'!B80</x:f>
        <x:v>OR-076</x:v>
      </x:c>
      <x:c r="B80" s="13" t="str">
        <x:f>'逐题结果'!C80</x:f>
        <x:v>FLP</x:v>
      </x:c>
      <x:c r="C80" s="10" t="n">
        <x:f>'逐题结果'!L80</x:f>
        <x:v>103090</x:v>
      </x:c>
      <x:c r="D80" s="13" t="str">
        <x:f>'逐题结果'!D80</x:f>
        <x:v>FLP</x:v>
      </x:c>
      <x:c r="E80" s="13" t="str">
        <x:f>'逐题结果'!E80</x:f>
        <x:v>FLP</x:v>
      </x:c>
      <x:c r="F80" s="13" t="n">
        <x:f>'逐题结果'!I80</x:f>
        <x:v>1</x:v>
      </x:c>
      <x:c r="G80" s="13" t="n">
        <x:f>'逐题结果'!J80</x:f>
        <x:v>1</x:v>
      </x:c>
      <x:c r="H80" s="10" t="n">
        <x:f>IF(F80=1,'逐题结果'!K80,"")</x:f>
        <x:v>103090</x:v>
      </x:c>
      <x:c r="I80" s="13" t="str">
        <x:f>'逐题结果'!D181</x:f>
        <x:v>Mixture</x:v>
      </x:c>
      <x:c r="J80" s="13" t="str">
        <x:f>'逐题结果'!E181</x:f>
        <x:v>Others</x:v>
      </x:c>
      <x:c r="K80" s="13" t="n">
        <x:f>'逐题结果'!I181</x:f>
        <x:v>1</x:v>
      </x:c>
      <x:c r="L80" s="13" t="n">
        <x:f>'逐题结果'!J181</x:f>
        <x:v>1</x:v>
      </x:c>
      <x:c r="M80" s="10" t="n">
        <x:f>IF(K80=1,'逐题结果'!K181,"")</x:f>
        <x:v>103090</x:v>
      </x:c>
      <x:c r="N80" s="13" t="str">
        <x:f>IF(G80=1,IF(L80=1,"两组均匹配","实验2丢失匹配"),IF(L80=1,"实验2新增匹配","两组均不匹配"))</x:f>
        <x:v>两组均匹配</x:v>
      </x:c>
      <x:c r="O80" s="2"/>
      <x:c r="P80" s="2"/>
    </x:row>
    <x:row r="81" ht="23" customHeight="1">
      <x:c r="A81" s="13" t="str">
        <x:f>'逐题结果'!B81</x:f>
        <x:v>OR-077</x:v>
      </x:c>
      <x:c r="B81" s="13" t="str">
        <x:f>'逐题结果'!C81</x:f>
        <x:v>Others</x:v>
      </x:c>
      <x:c r="C81" s="10" t="n">
        <x:f>'逐题结果'!L81</x:f>
        <x:v>133</x:v>
      </x:c>
      <x:c r="D81" s="13" t="str">
        <x:f>'逐题结果'!D81</x:f>
        <x:v>Others</x:v>
      </x:c>
      <x:c r="E81" s="13" t="str">
        <x:f>'逐题结果'!E81</x:f>
        <x:v>Others</x:v>
      </x:c>
      <x:c r="F81" s="13" t="n">
        <x:f>'逐题结果'!I81</x:f>
        <x:v>1</x:v>
      </x:c>
      <x:c r="G81" s="13" t="n">
        <x:f>'逐题结果'!J81</x:f>
        <x:v>1</x:v>
      </x:c>
      <x:c r="H81" s="10" t="n">
        <x:f>IF(F81=1,'逐题结果'!K81,"")</x:f>
        <x:v>133</x:v>
      </x:c>
      <x:c r="I81" s="13" t="str">
        <x:f>'逐题结果'!D182</x:f>
        <x:v>RA</x:v>
      </x:c>
      <x:c r="J81" s="13" t="str">
        <x:f>'逐题结果'!E182</x:f>
        <x:v>RA</x:v>
      </x:c>
      <x:c r="K81" s="13" t="n">
        <x:f>'逐题结果'!I182</x:f>
        <x:v>1</x:v>
      </x:c>
      <x:c r="L81" s="13" t="n">
        <x:f>'逐题结果'!J182</x:f>
        <x:v>1</x:v>
      </x:c>
      <x:c r="M81" s="10" t="n">
        <x:f>IF(K81=1,'逐题结果'!K182,"")</x:f>
        <x:v>133</x:v>
      </x:c>
      <x:c r="N81" s="13" t="str">
        <x:f>IF(G81=1,IF(L81=1,"两组均匹配","实验2丢失匹配"),IF(L81=1,"实验2新增匹配","两组均不匹配"))</x:f>
        <x:v>两组均匹配</x:v>
      </x:c>
      <x:c r="O81" s="2"/>
      <x:c r="P81" s="2"/>
    </x:row>
    <x:row r="82" ht="23" customHeight="1">
      <x:c r="A82" s="13" t="str">
        <x:f>'逐题结果'!B82</x:f>
        <x:v>OR-078</x:v>
      </x:c>
      <x:c r="B82" s="13" t="str">
        <x:f>'逐题结果'!C82</x:f>
        <x:v>Mixture</x:v>
      </x:c>
      <x:c r="C82" s="10" t="n">
        <x:f>'逐题结果'!L82</x:f>
        <x:v>152.76</x:v>
      </x:c>
      <x:c r="D82" s="13" t="str">
        <x:f>'逐题结果'!D82</x:f>
        <x:v>RA</x:v>
      </x:c>
      <x:c r="E82" s="13" t="str">
        <x:f>'逐题结果'!E82</x:f>
        <x:v>RA</x:v>
      </x:c>
      <x:c r="F82" s="13" t="n">
        <x:f>'逐题结果'!I82</x:f>
        <x:v>1</x:v>
      </x:c>
      <x:c r="G82" s="13" t="n">
        <x:f>'逐题结果'!J82</x:f>
        <x:v>1</x:v>
      </x:c>
      <x:c r="H82" s="10" t="n">
        <x:f>IF(F82=1,'逐题结果'!K82,"")</x:f>
        <x:v>152.76</x:v>
      </x:c>
      <x:c r="I82" s="13" t="str">
        <x:f>'逐题结果'!D183</x:f>
        <x:v>RA</x:v>
      </x:c>
      <x:c r="J82" s="13" t="str">
        <x:f>'逐题结果'!E183</x:f>
        <x:v>RA</x:v>
      </x:c>
      <x:c r="K82" s="13" t="n">
        <x:f>'逐题结果'!I183</x:f>
        <x:v>1</x:v>
      </x:c>
      <x:c r="L82" s="13" t="n">
        <x:f>'逐题结果'!J183</x:f>
        <x:v>1</x:v>
      </x:c>
      <x:c r="M82" s="10" t="n">
        <x:f>IF(K82=1,'逐题结果'!K183,"")</x:f>
        <x:v>152.76</x:v>
      </x:c>
      <x:c r="N82" s="13" t="str">
        <x:f>IF(G82=1,IF(L82=1,"两组均匹配","实验2丢失匹配"),IF(L82=1,"实验2新增匹配","两组均不匹配"))</x:f>
        <x:v>两组均匹配</x:v>
      </x:c>
      <x:c r="O82" s="2"/>
      <x:c r="P82" s="2"/>
    </x:row>
    <x:row r="83" ht="23" customHeight="1">
      <x:c r="A83" s="13" t="str">
        <x:f>'逐题结果'!B83</x:f>
        <x:v>OR-079</x:v>
      </x:c>
      <x:c r="B83" s="13" t="str">
        <x:f>'逐题结果'!C83</x:f>
        <x:v>FLP</x:v>
      </x:c>
      <x:c r="C83" s="10" t="n">
        <x:f>'逐题结果'!L83</x:f>
        <x:v>2965</x:v>
      </x:c>
      <x:c r="D83" s="13" t="str">
        <x:f>'逐题结果'!D83</x:f>
        <x:v>FLP</x:v>
      </x:c>
      <x:c r="E83" s="13" t="str">
        <x:f>'逐题结果'!E83</x:f>
        <x:v>FLP</x:v>
      </x:c>
      <x:c r="F83" s="13" t="n">
        <x:f>'逐题结果'!I83</x:f>
        <x:v>1</x:v>
      </x:c>
      <x:c r="G83" s="13" t="n">
        <x:f>'逐题结果'!J83</x:f>
        <x:v>1</x:v>
      </x:c>
      <x:c r="H83" s="10" t="n">
        <x:f>IF(F83=1,'逐题结果'!K83,"")</x:f>
        <x:v>2965</x:v>
      </x:c>
      <x:c r="I83" s="13" t="str">
        <x:f>'逐题结果'!D184</x:f>
        <x:v>Mixture</x:v>
      </x:c>
      <x:c r="J83" s="13" t="str">
        <x:f>'逐题结果'!E184</x:f>
        <x:v>Others</x:v>
      </x:c>
      <x:c r="K83" s="13" t="n">
        <x:f>'逐题结果'!I184</x:f>
        <x:v>1</x:v>
      </x:c>
      <x:c r="L83" s="13" t="n">
        <x:f>'逐题结果'!J184</x:f>
        <x:v>1</x:v>
      </x:c>
      <x:c r="M83" s="10" t="n">
        <x:f>IF(K83=1,'逐题结果'!K184,"")</x:f>
        <x:v>2965</x:v>
      </x:c>
      <x:c r="N83" s="13" t="str">
        <x:f>IF(G83=1,IF(L83=1,"两组均匹配","实验2丢失匹配"),IF(L83=1,"实验2新增匹配","两组均不匹配"))</x:f>
        <x:v>两组均匹配</x:v>
      </x:c>
      <x:c r="O83" s="2"/>
      <x:c r="P83" s="2"/>
    </x:row>
    <x:row r="84" ht="23" customHeight="1">
      <x:c r="A84" s="13" t="str">
        <x:f>'逐题结果'!B84</x:f>
        <x:v>OR-080</x:v>
      </x:c>
      <x:c r="B84" s="13" t="str">
        <x:f>'逐题结果'!C84</x:f>
        <x:v>Mixture</x:v>
      </x:c>
      <x:c r="C84" s="10" t="n">
        <x:f>'逐题结果'!L84</x:f>
        <x:v>14300</x:v>
      </x:c>
      <x:c r="D84" s="13" t="str">
        <x:f>'逐题结果'!D84</x:f>
        <x:v>Mixture</x:v>
      </x:c>
      <x:c r="E84" s="13" t="str">
        <x:f>'逐题结果'!E84</x:f>
        <x:v>Others</x:v>
      </x:c>
      <x:c r="F84" s="13" t="n">
        <x:f>'逐题结果'!I84</x:f>
        <x:v>1</x:v>
      </x:c>
      <x:c r="G84" s="13" t="n">
        <x:f>'逐题结果'!J84</x:f>
        <x:v>0</x:v>
      </x:c>
      <x:c r="H84" s="10" t="n">
        <x:f>IF(F84=1,'逐题结果'!K84,"")</x:f>
        <x:v>16470</x:v>
      </x:c>
      <x:c r="I84" s="13" t="str">
        <x:f>'逐题结果'!D185</x:f>
        <x:v>TP</x:v>
      </x:c>
      <x:c r="J84" s="13" t="str">
        <x:f>'逐题结果'!E185</x:f>
        <x:v>TP</x:v>
      </x:c>
      <x:c r="K84" s="13" t="n">
        <x:f>'逐题结果'!I185</x:f>
        <x:v>1</x:v>
      </x:c>
      <x:c r="L84" s="13" t="n">
        <x:f>'逐题结果'!J185</x:f>
        <x:v>0</x:v>
      </x:c>
      <x:c r="M84" s="10" t="n">
        <x:f>IF(K84=1,'逐题结果'!K185,"")</x:f>
        <x:v>15590</x:v>
      </x:c>
      <x:c r="N84" s="13" t="str">
        <x:f>IF(G84=1,IF(L84=1,"两组均匹配","实验2丢失匹配"),IF(L84=1,"实验2新增匹配","两组均不匹配"))</x:f>
        <x:v>两组均不匹配</x:v>
      </x:c>
      <x:c r="O84" s="2"/>
      <x:c r="P84" s="2"/>
    </x:row>
    <x:row r="85" ht="23" customHeight="1">
      <x:c r="A85" s="13" t="str">
        <x:f>'逐题结果'!B85</x:f>
        <x:v>OR-081</x:v>
      </x:c>
      <x:c r="B85" s="13" t="str">
        <x:f>'逐题结果'!C85</x:f>
        <x:v>Others</x:v>
      </x:c>
      <x:c r="C85" s="10" t="n">
        <x:f>'逐题结果'!L85</x:f>
        <x:v>3.91</x:v>
      </x:c>
      <x:c r="D85" s="13" t="str">
        <x:f>'逐题结果'!D85</x:f>
        <x:v>Others</x:v>
      </x:c>
      <x:c r="E85" s="13" t="str">
        <x:f>'逐题结果'!E85</x:f>
        <x:v>Others</x:v>
      </x:c>
      <x:c r="F85" s="13" t="n">
        <x:f>'逐题结果'!I85</x:f>
        <x:v>1</x:v>
      </x:c>
      <x:c r="G85" s="13" t="n">
        <x:f>'逐题结果'!J85</x:f>
        <x:v>1</x:v>
      </x:c>
      <x:c r="H85" s="10" t="n">
        <x:f>IF(F85=1,'逐题结果'!K85,"")</x:f>
        <x:v>3.910164341169253</x:v>
      </x:c>
      <x:c r="I85" s="13" t="str">
        <x:f>'逐题结果'!D186</x:f>
        <x:v>RA</x:v>
      </x:c>
      <x:c r="J85" s="13" t="str">
        <x:f>'逐题结果'!E186</x:f>
        <x:v>RA</x:v>
      </x:c>
      <x:c r="K85" s="13" t="n">
        <x:f>'逐题结果'!I186</x:f>
        <x:v>1</x:v>
      </x:c>
      <x:c r="L85" s="13" t="n">
        <x:f>'逐题结果'!J186</x:f>
        <x:v>1</x:v>
      </x:c>
      <x:c r="M85" s="10" t="n">
        <x:f>IF(K85=1,'逐题结果'!K186,"")</x:f>
        <x:v>3.910164341169253</x:v>
      </x:c>
      <x:c r="N85" s="13" t="str">
        <x:f>IF(G85=1,IF(L85=1,"两组均匹配","实验2丢失匹配"),IF(L85=1,"实验2新增匹配","两组均不匹配"))</x:f>
        <x:v>两组均匹配</x:v>
      </x:c>
      <x:c r="O85" s="2"/>
      <x:c r="P85" s="2"/>
    </x:row>
    <x:row r="86" ht="23" customHeight="1">
      <x:c r="A86" s="13" t="str">
        <x:f>'逐题结果'!B86</x:f>
        <x:v>OR-082</x:v>
      </x:c>
      <x:c r="B86" s="13" t="str">
        <x:f>'逐题结果'!C86</x:f>
        <x:v>Others</x:v>
      </x:c>
      <x:c r="C86" s="10" t="n">
        <x:f>'逐题结果'!L86</x:f>
        <x:v>199</x:v>
      </x:c>
      <x:c r="D86" s="13" t="str">
        <x:f>'逐题结果'!D86</x:f>
        <x:v>Others</x:v>
      </x:c>
      <x:c r="E86" s="13" t="str">
        <x:f>'逐题结果'!E86</x:f>
        <x:v>Others</x:v>
      </x:c>
      <x:c r="F86" s="13" t="n">
        <x:f>'逐题结果'!I86</x:f>
        <x:v>1</x:v>
      </x:c>
      <x:c r="G86" s="13" t="n">
        <x:f>'逐题结果'!J86</x:f>
        <x:v>1</x:v>
      </x:c>
      <x:c r="H86" s="10" t="n">
        <x:f>IF(F86=1,'逐题结果'!K86,"")</x:f>
        <x:v>199</x:v>
      </x:c>
      <x:c r="I86" s="13" t="str">
        <x:f>'逐题结果'!D187</x:f>
        <x:v>TP</x:v>
      </x:c>
      <x:c r="J86" s="13" t="str">
        <x:f>'逐题结果'!E187</x:f>
        <x:v>TP</x:v>
      </x:c>
      <x:c r="K86" s="13" t="n">
        <x:f>'逐题结果'!I187</x:f>
        <x:v>1</x:v>
      </x:c>
      <x:c r="L86" s="13" t="n">
        <x:f>'逐题结果'!J187</x:f>
        <x:v>1</x:v>
      </x:c>
      <x:c r="M86" s="10" t="n">
        <x:f>IF(K86=1,'逐题结果'!K187,"")</x:f>
        <x:v>199</x:v>
      </x:c>
      <x:c r="N86" s="13" t="str">
        <x:f>IF(G86=1,IF(L86=1,"两组均匹配","实验2丢失匹配"),IF(L86=1,"实验2新增匹配","两组均不匹配"))</x:f>
        <x:v>两组均匹配</x:v>
      </x:c>
      <x:c r="O86" s="2"/>
      <x:c r="P86" s="2"/>
    </x:row>
    <x:row r="87" ht="23" customHeight="1">
      <x:c r="A87" s="13" t="str">
        <x:f>'逐题结果'!B87</x:f>
        <x:v>OR-083</x:v>
      </x:c>
      <x:c r="B87" s="13" t="str">
        <x:f>'逐题结果'!C87</x:f>
        <x:v>Mixture</x:v>
      </x:c>
      <x:c r="C87" s="10" t="n">
        <x:f>'逐题结果'!L87</x:f>
        <x:v>34</x:v>
      </x:c>
      <x:c r="D87" s="13" t="str">
        <x:f>'逐题结果'!D87</x:f>
        <x:v>Mixture</x:v>
      </x:c>
      <x:c r="E87" s="13" t="str">
        <x:f>'逐题结果'!E87</x:f>
        <x:v>Others</x:v>
      </x:c>
      <x:c r="F87" s="13" t="n">
        <x:f>'逐题结果'!I87</x:f>
        <x:v>1</x:v>
      </x:c>
      <x:c r="G87" s="13" t="n">
        <x:f>'逐题结果'!J87</x:f>
        <x:v>1</x:v>
      </x:c>
      <x:c r="H87" s="10" t="n">
        <x:f>IF(F87=1,'逐题结果'!K87,"")</x:f>
        <x:v>34</x:v>
      </x:c>
      <x:c r="I87" s="13" t="str">
        <x:f>'逐题结果'!D188</x:f>
        <x:v>AP</x:v>
      </x:c>
      <x:c r="J87" s="13" t="str">
        <x:f>'逐题结果'!E188</x:f>
        <x:v>AP</x:v>
      </x:c>
      <x:c r="K87" s="13" t="n">
        <x:f>'逐题结果'!I188</x:f>
        <x:v>1</x:v>
      </x:c>
      <x:c r="L87" s="13" t="n">
        <x:f>'逐题结果'!J188</x:f>
        <x:v>1</x:v>
      </x:c>
      <x:c r="M87" s="10" t="n">
        <x:f>IF(K87=1,'逐题结果'!K188,"")</x:f>
        <x:v>34</x:v>
      </x:c>
      <x:c r="N87" s="13" t="str">
        <x:f>IF(G87=1,IF(L87=1,"两组均匹配","实验2丢失匹配"),IF(L87=1,"实验2新增匹配","两组均不匹配"))</x:f>
        <x:v>两组均匹配</x:v>
      </x:c>
      <x:c r="O87" s="2"/>
      <x:c r="P87" s="2"/>
    </x:row>
    <x:row r="88" ht="23" customHeight="1">
      <x:c r="A88" s="13" t="str">
        <x:f>'逐题结果'!B88</x:f>
        <x:v>OR-084</x:v>
      </x:c>
      <x:c r="B88" s="13" t="str">
        <x:f>'逐题结果'!C88</x:f>
        <x:v>Others</x:v>
      </x:c>
      <x:c r="C88" s="10" t="n">
        <x:f>'逐题结果'!L88</x:f>
        <x:v>22.85</x:v>
      </x:c>
      <x:c r="D88" s="13" t="str">
        <x:f>'逐题结果'!D88</x:f>
        <x:v>Others</x:v>
      </x:c>
      <x:c r="E88" s="13" t="str">
        <x:f>'逐题结果'!E88</x:f>
        <x:v>Others</x:v>
      </x:c>
      <x:c r="F88" s="13" t="n">
        <x:f>'逐题结果'!I88</x:f>
        <x:v>1</x:v>
      </x:c>
      <x:c r="G88" s="13" t="n">
        <x:f>'逐题结果'!J88</x:f>
        <x:v>1</x:v>
      </x:c>
      <x:c r="H88" s="10" t="n">
        <x:f>IF(F88=1,'逐题结果'!K88,"")</x:f>
        <x:v>22.85</x:v>
      </x:c>
      <x:c r="I88" s="13" t="str">
        <x:f>'逐题结果'!D189</x:f>
        <x:v>AP</x:v>
      </x:c>
      <x:c r="J88" s="13" t="str">
        <x:f>'逐题结果'!E189</x:f>
        <x:v>AP</x:v>
      </x:c>
      <x:c r="K88" s="13" t="n">
        <x:f>'逐题结果'!I189</x:f>
        <x:v>1</x:v>
      </x:c>
      <x:c r="L88" s="13" t="n">
        <x:f>'逐题结果'!J189</x:f>
        <x:v>1</x:v>
      </x:c>
      <x:c r="M88" s="10" t="n">
        <x:f>IF(K88=1,'逐题结果'!K189,"")</x:f>
        <x:v>22.85</x:v>
      </x:c>
      <x:c r="N88" s="13" t="str">
        <x:f>IF(G88=1,IF(L88=1,"两组均匹配","实验2丢失匹配"),IF(L88=1,"实验2新增匹配","两组均不匹配"))</x:f>
        <x:v>两组均匹配</x:v>
      </x:c>
      <x:c r="O88" s="2"/>
      <x:c r="P88" s="2"/>
    </x:row>
    <x:row r="89" ht="23" customHeight="1">
      <x:c r="A89" s="13" t="str">
        <x:f>'逐题结果'!B89</x:f>
        <x:v>OR-085</x:v>
      </x:c>
      <x:c r="B89" s="13" t="str">
        <x:f>'逐题结果'!C89</x:f>
        <x:v>Others</x:v>
      </x:c>
      <x:c r="C89" s="10" t="n">
        <x:f>'逐题结果'!L89</x:f>
        <x:v>419</x:v>
      </x:c>
      <x:c r="D89" s="13" t="str">
        <x:f>'逐题结果'!D89</x:f>
        <x:v>Others</x:v>
      </x:c>
      <x:c r="E89" s="13" t="str">
        <x:f>'逐题结果'!E89</x:f>
        <x:v>Others</x:v>
      </x:c>
      <x:c r="F89" s="13" t="n">
        <x:f>'逐题结果'!I89</x:f>
        <x:v>1</x:v>
      </x:c>
      <x:c r="G89" s="13" t="n">
        <x:f>'逐题结果'!J89</x:f>
        <x:v>1</x:v>
      </x:c>
      <x:c r="H89" s="10" t="n">
        <x:f>IF(F89=1,'逐题结果'!K89,"")</x:f>
        <x:v>419</x:v>
      </x:c>
      <x:c r="I89" s="13" t="str">
        <x:f>'逐题结果'!D190</x:f>
        <x:v>AP</x:v>
      </x:c>
      <x:c r="J89" s="13" t="str">
        <x:f>'逐题结果'!E190</x:f>
        <x:v>AP</x:v>
      </x:c>
      <x:c r="K89" s="13" t="n">
        <x:f>'逐题结果'!I190</x:f>
        <x:v>1</x:v>
      </x:c>
      <x:c r="L89" s="13" t="n">
        <x:f>'逐题结果'!J190</x:f>
        <x:v>0</x:v>
      </x:c>
      <x:c r="M89" s="10" t="n">
        <x:f>IF(K89=1,'逐题结果'!K190,"")</x:f>
        <x:v>296</x:v>
      </x:c>
      <x:c r="N89" s="13" t="str">
        <x:f>IF(G89=1,IF(L89=1,"两组均匹配","实验2丢失匹配"),IF(L89=1,"实验2新增匹配","两组均不匹配"))</x:f>
        <x:v>实验2丢失匹配</x:v>
      </x:c>
      <x:c r="O89" s="2"/>
      <x:c r="P89" s="2"/>
    </x:row>
    <x:row r="90" ht="23" customHeight="1">
      <x:c r="A90" s="13" t="str">
        <x:f>'逐题结果'!B90</x:f>
        <x:v>OR-086</x:v>
      </x:c>
      <x:c r="B90" s="13" t="str">
        <x:f>'逐题结果'!C90</x:f>
        <x:v>Mixture</x:v>
      </x:c>
      <x:c r="C90" s="10" t="n">
        <x:f>'逐题结果'!L90</x:f>
        <x:v>4500</x:v>
      </x:c>
      <x:c r="D90" s="13" t="str">
        <x:f>'逐题结果'!D90</x:f>
        <x:v>Mixture</x:v>
      </x:c>
      <x:c r="E90" s="13" t="str">
        <x:f>'逐题结果'!E90</x:f>
        <x:v>Others</x:v>
      </x:c>
      <x:c r="F90" s="13" t="n">
        <x:f>'逐题结果'!I90</x:f>
        <x:v>1</x:v>
      </x:c>
      <x:c r="G90" s="13" t="n">
        <x:f>'逐题结果'!J90</x:f>
        <x:v>1</x:v>
      </x:c>
      <x:c r="H90" s="10" t="n">
        <x:f>IF(F90=1,'逐题结果'!K90,"")</x:f>
        <x:v>4500</x:v>
      </x:c>
      <x:c r="I90" s="13" t="str">
        <x:f>'逐题结果'!D191</x:f>
        <x:v>RA</x:v>
      </x:c>
      <x:c r="J90" s="13" t="str">
        <x:f>'逐题结果'!E191</x:f>
        <x:v>RA</x:v>
      </x:c>
      <x:c r="K90" s="13" t="n">
        <x:f>'逐题结果'!I191</x:f>
        <x:v>1</x:v>
      </x:c>
      <x:c r="L90" s="13" t="n">
        <x:f>'逐题结果'!J191</x:f>
        <x:v>1</x:v>
      </x:c>
      <x:c r="M90" s="10" t="n">
        <x:f>IF(K90=1,'逐题结果'!K191,"")</x:f>
        <x:v>4500</x:v>
      </x:c>
      <x:c r="N90" s="13" t="str">
        <x:f>IF(G90=1,IF(L90=1,"两组均匹配","实验2丢失匹配"),IF(L90=1,"实验2新增匹配","两组均不匹配"))</x:f>
        <x:v>两组均匹配</x:v>
      </x:c>
      <x:c r="O90" s="2"/>
      <x:c r="P90" s="2"/>
    </x:row>
    <x:row r="91" ht="23" customHeight="1">
      <x:c r="A91" s="13" t="str">
        <x:f>'逐题结果'!B91</x:f>
        <x:v>OR-087</x:v>
      </x:c>
      <x:c r="B91" s="13" t="str">
        <x:f>'逐题结果'!C91</x:f>
        <x:v>Mixture</x:v>
      </x:c>
      <x:c r="C91" s="10" t="n">
        <x:f>'逐题结果'!L91</x:f>
        <x:v>6243055.96</x:v>
      </x:c>
      <x:c r="D91" s="13" t="str">
        <x:f>'逐题结果'!D91</x:f>
        <x:v>Mixture</x:v>
      </x:c>
      <x:c r="E91" s="13" t="str">
        <x:f>'逐题结果'!E91</x:f>
        <x:v>Others</x:v>
      </x:c>
      <x:c r="F91" s="13" t="n">
        <x:f>'逐题结果'!I91</x:f>
        <x:v>1</x:v>
      </x:c>
      <x:c r="G91" s="13" t="n">
        <x:f>'逐题结果'!J91</x:f>
        <x:v>1</x:v>
      </x:c>
      <x:c r="H91" s="10" t="n">
        <x:f>IF(F91=1,'逐题结果'!K91,"")</x:f>
        <x:v>6243055.959999999</x:v>
      </x:c>
      <x:c r="I91" s="13" t="str">
        <x:f>'逐题结果'!D192</x:f>
        <x:v>RA</x:v>
      </x:c>
      <x:c r="J91" s="13" t="str">
        <x:f>'逐题结果'!E192</x:f>
        <x:v>RA</x:v>
      </x:c>
      <x:c r="K91" s="13" t="n">
        <x:f>'逐题结果'!I192</x:f>
        <x:v>1</x:v>
      </x:c>
      <x:c r="L91" s="13" t="n">
        <x:f>'逐题结果'!J192</x:f>
        <x:v>1</x:v>
      </x:c>
      <x:c r="M91" s="10" t="n">
        <x:f>IF(K91=1,'逐题结果'!K192,"")</x:f>
        <x:v>6243055.959999999</x:v>
      </x:c>
      <x:c r="N91" s="13" t="str">
        <x:f>IF(G91=1,IF(L91=1,"两组均匹配","实验2丢失匹配"),IF(L91=1,"实验2新增匹配","两组均不匹配"))</x:f>
        <x:v>两组均匹配</x:v>
      </x:c>
      <x:c r="O91" s="2"/>
      <x:c r="P91" s="2"/>
    </x:row>
    <x:row r="92" ht="23" customHeight="1">
      <x:c r="A92" s="13" t="str">
        <x:f>'逐题结果'!B92</x:f>
        <x:v>OR-088</x:v>
      </x:c>
      <x:c r="B92" s="13" t="str">
        <x:f>'逐题结果'!C92</x:f>
        <x:v>FLP</x:v>
      </x:c>
      <x:c r="C92" s="10" t="n">
        <x:f>'逐题结果'!L92</x:f>
        <x:v>150992.5</x:v>
      </x:c>
      <x:c r="D92" s="13" t="str">
        <x:f>'逐题结果'!D92</x:f>
        <x:v>FLP</x:v>
      </x:c>
      <x:c r="E92" s="13" t="str">
        <x:f>'逐题结果'!E92</x:f>
        <x:v>FLP</x:v>
      </x:c>
      <x:c r="F92" s="13" t="n">
        <x:f>'逐题结果'!I92</x:f>
        <x:v>1</x:v>
      </x:c>
      <x:c r="G92" s="13" t="n">
        <x:f>'逐题结果'!J92</x:f>
        <x:v>1</x:v>
      </x:c>
      <x:c r="H92" s="10" t="n">
        <x:f>IF(F92=1,'逐题结果'!K92,"")</x:f>
        <x:v>150992.5</x:v>
      </x:c>
      <x:c r="I92" s="13" t="str">
        <x:f>'逐题结果'!D193</x:f>
        <x:v>Mixture</x:v>
      </x:c>
      <x:c r="J92" s="13" t="str">
        <x:f>'逐题结果'!E193</x:f>
        <x:v>Others</x:v>
      </x:c>
      <x:c r="K92" s="13" t="n">
        <x:f>'逐题结果'!I193</x:f>
        <x:v>1</x:v>
      </x:c>
      <x:c r="L92" s="13" t="n">
        <x:f>'逐题结果'!J193</x:f>
        <x:v>1</x:v>
      </x:c>
      <x:c r="M92" s="10" t="n">
        <x:f>IF(K92=1,'逐题结果'!K193,"")</x:f>
        <x:v>150992.5</x:v>
      </x:c>
      <x:c r="N92" s="13" t="str">
        <x:f>IF(G92=1,IF(L92=1,"两组均匹配","实验2丢失匹配"),IF(L92=1,"实验2新增匹配","两组均不匹配"))</x:f>
        <x:v>两组均匹配</x:v>
      </x:c>
      <x:c r="O92" s="2"/>
      <x:c r="P92" s="2"/>
    </x:row>
    <x:row r="93" ht="23" customHeight="1">
      <x:c r="A93" s="13" t="str">
        <x:f>'逐题结果'!B93</x:f>
        <x:v>OR-089</x:v>
      </x:c>
      <x:c r="B93" s="13" t="str">
        <x:f>'逐题结果'!C93</x:f>
        <x:v>FLP</x:v>
      </x:c>
      <x:c r="C93" s="10" t="n">
        <x:f>'逐题结果'!L93</x:f>
        <x:v>1555.5</x:v>
      </x:c>
      <x:c r="D93" s="13" t="str">
        <x:f>'逐题结果'!D93</x:f>
        <x:v>FLP</x:v>
      </x:c>
      <x:c r="E93" s="13" t="str">
        <x:f>'逐题结果'!E93</x:f>
        <x:v>FLP</x:v>
      </x:c>
      <x:c r="F93" s="13" t="n">
        <x:f>'逐题结果'!I93</x:f>
        <x:v>1</x:v>
      </x:c>
      <x:c r="G93" s="13" t="n">
        <x:f>'逐题结果'!J93</x:f>
        <x:v>1</x:v>
      </x:c>
      <x:c r="H93" s="10" t="n">
        <x:f>IF(F93=1,'逐题结果'!K93,"")</x:f>
        <x:v>1555.4999999999993</x:v>
      </x:c>
      <x:c r="I93" s="13" t="str">
        <x:f>'逐题结果'!D194</x:f>
        <x:v>Mixture</x:v>
      </x:c>
      <x:c r="J93" s="13" t="str">
        <x:f>'逐题结果'!E194</x:f>
        <x:v>Others</x:v>
      </x:c>
      <x:c r="K93" s="13" t="n">
        <x:f>'逐题结果'!I194</x:f>
        <x:v>1</x:v>
      </x:c>
      <x:c r="L93" s="13" t="n">
        <x:f>'逐题结果'!J194</x:f>
        <x:v>1</x:v>
      </x:c>
      <x:c r="M93" s="10" t="n">
        <x:f>IF(K93=1,'逐题结果'!K194,"")</x:f>
        <x:v>1555.4999999999993</x:v>
      </x:c>
      <x:c r="N93" s="13" t="str">
        <x:f>IF(G93=1,IF(L93=1,"两组均匹配","实验2丢失匹配"),IF(L93=1,"实验2新增匹配","两组均不匹配"))</x:f>
        <x:v>两组均匹配</x:v>
      </x:c>
      <x:c r="O93" s="2"/>
      <x:c r="P93" s="2"/>
    </x:row>
    <x:row r="94" ht="23" customHeight="1">
      <x:c r="A94" s="13" t="str">
        <x:f>'逐题结果'!B94</x:f>
        <x:v>OR-090</x:v>
      </x:c>
      <x:c r="B94" s="13" t="str">
        <x:f>'逐题结果'!C94</x:f>
        <x:v>Mixture</x:v>
      </x:c>
      <x:c r="C94" s="10" t="n">
        <x:f>'逐题结果'!L94</x:f>
        <x:v>108657.9</x:v>
      </x:c>
      <x:c r="D94" s="13" t="str">
        <x:f>'逐题结果'!D94</x:f>
        <x:v>Mixture</x:v>
      </x:c>
      <x:c r="E94" s="13" t="str">
        <x:f>'逐题结果'!E94</x:f>
        <x:v>Others</x:v>
      </x:c>
      <x:c r="F94" s="13" t="n">
        <x:f>'逐题结果'!I94</x:f>
        <x:v>1</x:v>
      </x:c>
      <x:c r="G94" s="13" t="n">
        <x:f>'逐题结果'!J94</x:f>
        <x:v>1</x:v>
      </x:c>
      <x:c r="H94" s="10" t="n">
        <x:f>IF(F94=1,'逐题结果'!K94,"")</x:f>
        <x:v>108657.90000000002</x:v>
      </x:c>
      <x:c r="I94" s="13" t="str">
        <x:f>'逐题结果'!D195</x:f>
        <x:v>RA</x:v>
      </x:c>
      <x:c r="J94" s="13" t="str">
        <x:f>'逐题结果'!E195</x:f>
        <x:v>RA</x:v>
      </x:c>
      <x:c r="K94" s="13" t="n">
        <x:f>'逐题结果'!I195</x:f>
        <x:v>1</x:v>
      </x:c>
      <x:c r="L94" s="13" t="n">
        <x:f>'逐题结果'!J195</x:f>
        <x:v>1</x:v>
      </x:c>
      <x:c r="M94" s="10" t="n">
        <x:f>IF(K94=1,'逐题结果'!K195,"")</x:f>
        <x:v>108657.90000000002</x:v>
      </x:c>
      <x:c r="N94" s="13" t="str">
        <x:f>IF(G94=1,IF(L94=1,"两组均匹配","实验2丢失匹配"),IF(L94=1,"实验2新增匹配","两组均不匹配"))</x:f>
        <x:v>两组均匹配</x:v>
      </x:c>
      <x:c r="O94" s="2"/>
      <x:c r="P94" s="2"/>
    </x:row>
    <x:row r="95" ht="23" customHeight="1">
      <x:c r="A95" s="13" t="str">
        <x:f>'逐题结果'!B95</x:f>
        <x:v>OR-091</x:v>
      </x:c>
      <x:c r="B95" s="13" t="str">
        <x:f>'逐题结果'!C95</x:f>
        <x:v>Mixture</x:v>
      </x:c>
      <x:c r="C95" s="10" t="n">
        <x:f>'逐题结果'!L95</x:f>
        <x:v>421</x:v>
      </x:c>
      <x:c r="D95" s="13" t="str">
        <x:f>'逐题结果'!D95</x:f>
        <x:v>Others</x:v>
      </x:c>
      <x:c r="E95" s="13" t="str">
        <x:f>'逐题结果'!E95</x:f>
        <x:v>Others</x:v>
      </x:c>
      <x:c r="F95" s="13" t="n">
        <x:f>'逐题结果'!I95</x:f>
        <x:v>1</x:v>
      </x:c>
      <x:c r="G95" s="13" t="n">
        <x:f>'逐题结果'!J95</x:f>
        <x:v>1</x:v>
      </x:c>
      <x:c r="H95" s="10" t="n">
        <x:f>IF(F95=1,'逐题结果'!K95,"")</x:f>
        <x:v>421</x:v>
      </x:c>
      <x:c r="I95" s="13" t="str">
        <x:f>'逐题结果'!D196</x:f>
        <x:v>RA</x:v>
      </x:c>
      <x:c r="J95" s="13" t="str">
        <x:f>'逐题结果'!E196</x:f>
        <x:v>RA</x:v>
      </x:c>
      <x:c r="K95" s="13" t="n">
        <x:f>'逐题结果'!I196</x:f>
        <x:v>1</x:v>
      </x:c>
      <x:c r="L95" s="13" t="n">
        <x:f>'逐题结果'!J196</x:f>
        <x:v>1</x:v>
      </x:c>
      <x:c r="M95" s="10" t="n">
        <x:f>IF(K95=1,'逐题结果'!K196,"")</x:f>
        <x:v>421</x:v>
      </x:c>
      <x:c r="N95" s="13" t="str">
        <x:f>IF(G95=1,IF(L95=1,"两组均匹配","实验2丢失匹配"),IF(L95=1,"实验2新增匹配","两组均不匹配"))</x:f>
        <x:v>两组均匹配</x:v>
      </x:c>
      <x:c r="O95" s="2"/>
      <x:c r="P95" s="2"/>
    </x:row>
    <x:row r="96" ht="23" customHeight="1">
      <x:c r="A96" s="13" t="str">
        <x:f>'逐题结果'!B96</x:f>
        <x:v>OR-092</x:v>
      </x:c>
      <x:c r="B96" s="13" t="str">
        <x:f>'逐题结果'!C96</x:f>
        <x:v>Mixture</x:v>
      </x:c>
      <x:c r="C96" s="10" t="n">
        <x:f>'逐题结果'!L96</x:f>
        <x:v>3148.93</x:v>
      </x:c>
      <x:c r="D96" s="13" t="str">
        <x:f>'逐题结果'!D96</x:f>
        <x:v>Mixture</x:v>
      </x:c>
      <x:c r="E96" s="13" t="str">
        <x:f>'逐题结果'!E96</x:f>
        <x:v>Others</x:v>
      </x:c>
      <x:c r="F96" s="13" t="n">
        <x:f>'逐题结果'!I96</x:f>
        <x:v>1</x:v>
      </x:c>
      <x:c r="G96" s="13" t="n">
        <x:f>'逐题结果'!J96</x:f>
        <x:v>1</x:v>
      </x:c>
      <x:c r="H96" s="10" t="n">
        <x:f>IF(F96=1,'逐题结果'!K96,"")</x:f>
        <x:v>3148.9299999999994</x:v>
      </x:c>
      <x:c r="I96" s="13" t="str">
        <x:f>'逐题结果'!D197</x:f>
        <x:v>TP</x:v>
      </x:c>
      <x:c r="J96" s="13" t="str">
        <x:f>'逐题结果'!E197</x:f>
        <x:v>TP</x:v>
      </x:c>
      <x:c r="K96" s="13" t="n">
        <x:f>'逐题结果'!I197</x:f>
        <x:v>1</x:v>
      </x:c>
      <x:c r="L96" s="13" t="n">
        <x:f>'逐题结果'!J197</x:f>
        <x:v>1</x:v>
      </x:c>
      <x:c r="M96" s="10" t="n">
        <x:f>IF(K96=1,'逐题结果'!K197,"")</x:f>
        <x:v>3148.9299999999994</x:v>
      </x:c>
      <x:c r="N96" s="13" t="str">
        <x:f>IF(G96=1,IF(L96=1,"两组均匹配","实验2丢失匹配"),IF(L96=1,"实验2新增匹配","两组均不匹配"))</x:f>
        <x:v>两组均匹配</x:v>
      </x:c>
      <x:c r="O96" s="2"/>
      <x:c r="P96" s="2"/>
    </x:row>
    <x:row r="97" ht="23" customHeight="1">
      <x:c r="A97" s="13" t="str">
        <x:f>'逐题结果'!B97</x:f>
        <x:v>OR-093</x:v>
      </x:c>
      <x:c r="B97" s="13" t="str">
        <x:f>'逐题结果'!C97</x:f>
        <x:v>AP</x:v>
      </x:c>
      <x:c r="C97" s="10" t="n">
        <x:f>'逐题结果'!L97</x:f>
        <x:v>1577.6</x:v>
      </x:c>
      <x:c r="D97" s="13" t="str">
        <x:f>'逐题结果'!D97</x:f>
        <x:v>AP</x:v>
      </x:c>
      <x:c r="E97" s="13" t="str">
        <x:f>'逐题结果'!E97</x:f>
        <x:v>AP</x:v>
      </x:c>
      <x:c r="F97" s="13" t="n">
        <x:f>'逐题结果'!I97</x:f>
        <x:v>1</x:v>
      </x:c>
      <x:c r="G97" s="13" t="n">
        <x:f>'逐题结果'!J97</x:f>
        <x:v>1</x:v>
      </x:c>
      <x:c r="H97" s="10" t="n">
        <x:f>IF(F97=1,'逐题结果'!K97,"")</x:f>
        <x:v>1577.6</x:v>
      </x:c>
      <x:c r="I97" s="13" t="str">
        <x:f>'逐题结果'!D198</x:f>
        <x:v>Others</x:v>
      </x:c>
      <x:c r="J97" s="13" t="str">
        <x:f>'逐题结果'!E198</x:f>
        <x:v>Others</x:v>
      </x:c>
      <x:c r="K97" s="13" t="n">
        <x:f>'逐题结果'!I198</x:f>
        <x:v>1</x:v>
      </x:c>
      <x:c r="L97" s="13" t="n">
        <x:f>'逐题结果'!J198</x:f>
        <x:v>1</x:v>
      </x:c>
      <x:c r="M97" s="10" t="n">
        <x:f>IF(K97=1,'逐题结果'!K198,"")</x:f>
        <x:v>1577.6</x:v>
      </x:c>
      <x:c r="N97" s="13" t="str">
        <x:f>IF(G97=1,IF(L97=1,"两组均匹配","实验2丢失匹配"),IF(L97=1,"实验2新增匹配","两组均不匹配"))</x:f>
        <x:v>两组均匹配</x:v>
      </x:c>
      <x:c r="O97" s="2"/>
      <x:c r="P97" s="2"/>
    </x:row>
    <x:row r="98" ht="23" customHeight="1">
      <x:c r="A98" s="13" t="str">
        <x:f>'逐题结果'!B98</x:f>
        <x:v>OR-094</x:v>
      </x:c>
      <x:c r="B98" s="13" t="str">
        <x:f>'逐题结果'!C98</x:f>
        <x:v>Mixture</x:v>
      </x:c>
      <x:c r="C98" s="10" t="n">
        <x:f>'逐题结果'!L98</x:f>
        <x:v>0.6</x:v>
      </x:c>
      <x:c r="D98" s="13" t="str">
        <x:f>'逐题结果'!D98</x:f>
        <x:v>RA</x:v>
      </x:c>
      <x:c r="E98" s="13" t="str">
        <x:f>'逐题结果'!E98</x:f>
        <x:v>RA</x:v>
      </x:c>
      <x:c r="F98" s="13" t="n">
        <x:f>'逐题结果'!I98</x:f>
        <x:v>1</x:v>
      </x:c>
      <x:c r="G98" s="13" t="n">
        <x:f>'逐题结果'!J98</x:f>
        <x:v>1</x:v>
      </x:c>
      <x:c r="H98" s="10" t="n">
        <x:f>IF(F98=1,'逐题结果'!K98,"")</x:f>
        <x:v>0.6000000000003638</x:v>
      </x:c>
      <x:c r="I98" s="13" t="str">
        <x:f>'逐题结果'!D199</x:f>
        <x:v>RA</x:v>
      </x:c>
      <x:c r="J98" s="13" t="str">
        <x:f>'逐题结果'!E199</x:f>
        <x:v>RA</x:v>
      </x:c>
      <x:c r="K98" s="13" t="n">
        <x:f>'逐题结果'!I199</x:f>
        <x:v>1</x:v>
      </x:c>
      <x:c r="L98" s="13" t="n">
        <x:f>'逐题结果'!J199</x:f>
        <x:v>1</x:v>
      </x:c>
      <x:c r="M98" s="10" t="n">
        <x:f>IF(K98=1,'逐题结果'!K199,"")</x:f>
        <x:v>0.6000000000003638</x:v>
      </x:c>
      <x:c r="N98" s="13" t="str">
        <x:f>IF(G98=1,IF(L98=1,"两组均匹配","实验2丢失匹配"),IF(L98=1,"实验2新增匹配","两组均不匹配"))</x:f>
        <x:v>两组均匹配</x:v>
      </x:c>
      <x:c r="O98" s="2"/>
      <x:c r="P98" s="2"/>
    </x:row>
    <x:row r="99" ht="23" customHeight="1">
      <x:c r="A99" s="13" t="str">
        <x:f>'逐题结果'!B99</x:f>
        <x:v>OR-095</x:v>
      </x:c>
      <x:c r="B99" s="13" t="str">
        <x:f>'逐题结果'!C99</x:f>
        <x:v>Mixture</x:v>
      </x:c>
      <x:c r="C99" s="10" t="n">
        <x:f>'逐题结果'!L99</x:f>
        <x:v>1344480</x:v>
      </x:c>
      <x:c r="D99" s="13" t="str">
        <x:f>'逐题结果'!D99</x:f>
        <x:v>Mixture</x:v>
      </x:c>
      <x:c r="E99" s="13" t="str">
        <x:f>'逐题结果'!E99</x:f>
        <x:v>Others</x:v>
      </x:c>
      <x:c r="F99" s="13" t="n">
        <x:f>'逐题结果'!I99</x:f>
        <x:v>1</x:v>
      </x:c>
      <x:c r="G99" s="13" t="n">
        <x:f>'逐题结果'!J99</x:f>
        <x:v>1</x:v>
      </x:c>
      <x:c r="H99" s="10" t="n">
        <x:f>IF(F99=1,'逐题结果'!K99,"")</x:f>
        <x:v>1344480</x:v>
      </x:c>
      <x:c r="I99" s="13" t="str">
        <x:f>'逐题结果'!D200</x:f>
        <x:v>RA</x:v>
      </x:c>
      <x:c r="J99" s="13" t="str">
        <x:f>'逐题结果'!E200</x:f>
        <x:v>RA</x:v>
      </x:c>
      <x:c r="K99" s="13" t="n">
        <x:f>'逐题结果'!I200</x:f>
        <x:v>0</x:v>
      </x:c>
      <x:c r="L99" s="13" t="n">
        <x:f>'逐题结果'!J200</x:f>
        <x:v>0</x:v>
      </x:c>
      <x:c r="M99" s="10" t="str">
        <x:f>IF(K99=1,'逐题结果'!K200,"")</x:f>
      </x:c>
      <x:c r="N99" s="13" t="str">
        <x:f>IF(G99=1,IF(L99=1,"两组均匹配","实验2丢失匹配"),IF(L99=1,"实验2新增匹配","两组均不匹配"))</x:f>
        <x:v>实验2丢失匹配</x:v>
      </x:c>
      <x:c r="O99" s="2"/>
      <x:c r="P99" s="2" t="str">
        <x:v>ValueError</x:v>
      </x:c>
    </x:row>
    <x:row r="100" ht="23" customHeight="1">
      <x:c r="A100" s="13" t="str">
        <x:f>'逐题结果'!B100</x:f>
        <x:v>OR-096</x:v>
      </x:c>
      <x:c r="B100" s="13" t="str">
        <x:f>'逐题结果'!C100</x:f>
        <x:v>Mixture</x:v>
      </x:c>
      <x:c r="C100" s="10" t="n">
        <x:f>'逐题结果'!L100</x:f>
        <x:v>5044</x:v>
      </x:c>
      <x:c r="D100" s="13" t="str">
        <x:f>'逐题结果'!D100</x:f>
        <x:v>Mixture</x:v>
      </x:c>
      <x:c r="E100" s="13" t="str">
        <x:f>'逐题结果'!E100</x:f>
        <x:v>Others</x:v>
      </x:c>
      <x:c r="F100" s="13" t="n">
        <x:f>'逐题结果'!I100</x:f>
        <x:v>1</x:v>
      </x:c>
      <x:c r="G100" s="13" t="n">
        <x:f>'逐题结果'!J100</x:f>
        <x:v>1</x:v>
      </x:c>
      <x:c r="H100" s="10" t="n">
        <x:f>IF(F100=1,'逐题结果'!K100,"")</x:f>
        <x:v>5044</x:v>
      </x:c>
      <x:c r="I100" s="13" t="str">
        <x:f>'逐题结果'!D201</x:f>
        <x:v>TP</x:v>
      </x:c>
      <x:c r="J100" s="13" t="str">
        <x:f>'逐题结果'!E201</x:f>
        <x:v>TP</x:v>
      </x:c>
      <x:c r="K100" s="13" t="n">
        <x:f>'逐题结果'!I201</x:f>
        <x:v>0</x:v>
      </x:c>
      <x:c r="L100" s="13" t="n">
        <x:f>'逐题结果'!J201</x:f>
        <x:v>0</x:v>
      </x:c>
      <x:c r="M100" s="10" t="str">
        <x:f>IF(K100=1,'逐题结果'!K201,"")</x:f>
      </x:c>
      <x:c r="N100" s="13" t="str">
        <x:f>IF(G100=1,IF(L100=1,"两组均匹配","实验2丢失匹配"),IF(L100=1,"实验2新增匹配","两组均不匹配"))</x:f>
        <x:v>实验2丢失匹配</x:v>
      </x:c>
      <x:c r="O100" s="2"/>
      <x:c r="P100" s="2" t="str">
        <x:v>ValueError</x:v>
      </x:c>
    </x:row>
    <x:row r="101" ht="23" customHeight="1">
      <x:c r="A101" s="13" t="str">
        <x:f>'逐题结果'!B101</x:f>
        <x:v>OR-097</x:v>
      </x:c>
      <x:c r="B101" s="13" t="str">
        <x:f>'逐题结果'!C101</x:f>
        <x:v>Mixture</x:v>
      </x:c>
      <x:c r="C101" s="10" t="n">
        <x:f>'逐题结果'!L101</x:f>
        <x:v>6</x:v>
      </x:c>
      <x:c r="D101" s="13" t="str">
        <x:f>'逐题结果'!D101</x:f>
        <x:v>Mixture</x:v>
      </x:c>
      <x:c r="E101" s="13" t="str">
        <x:f>'逐题结果'!E101</x:f>
        <x:v>Others</x:v>
      </x:c>
      <x:c r="F101" s="13" t="n">
        <x:f>'逐题结果'!I101</x:f>
        <x:v>1</x:v>
      </x:c>
      <x:c r="G101" s="13" t="n">
        <x:f>'逐题结果'!J101</x:f>
        <x:v>1</x:v>
      </x:c>
      <x:c r="H101" s="10" t="n">
        <x:f>IF(F101=1,'逐题结果'!K101,"")</x:f>
        <x:v>6</x:v>
      </x:c>
      <x:c r="I101" s="13" t="str">
        <x:f>'逐题结果'!D202</x:f>
        <x:v>RA</x:v>
      </x:c>
      <x:c r="J101" s="13" t="str">
        <x:f>'逐题结果'!E202</x:f>
        <x:v>RA</x:v>
      </x:c>
      <x:c r="K101" s="13" t="n">
        <x:f>'逐题结果'!I202</x:f>
        <x:v>1</x:v>
      </x:c>
      <x:c r="L101" s="13" t="n">
        <x:f>'逐题结果'!J202</x:f>
        <x:v>1</x:v>
      </x:c>
      <x:c r="M101" s="10" t="n">
        <x:f>IF(K101=1,'逐题结果'!K202,"")</x:f>
        <x:v>6</x:v>
      </x:c>
      <x:c r="N101" s="13" t="str">
        <x:f>IF(G101=1,IF(L101=1,"两组均匹配","实验2丢失匹配"),IF(L101=1,"实验2新增匹配","两组均不匹配"))</x:f>
        <x:v>两组均匹配</x:v>
      </x:c>
      <x:c r="O101" s="2"/>
      <x:c r="P101" s="2"/>
    </x:row>
    <x:row r="102" ht="23" customHeight="1">
      <x:c r="A102" s="13" t="str">
        <x:f>'逐题结果'!B102</x:f>
        <x:v>OR-098</x:v>
      </x:c>
      <x:c r="B102" s="13" t="str">
        <x:f>'逐题结果'!C102</x:f>
        <x:v>Mixture</x:v>
      </x:c>
      <x:c r="C102" s="10" t="n">
        <x:f>'逐题结果'!L102</x:f>
        <x:v>0</x:v>
      </x:c>
      <x:c r="D102" s="13" t="str">
        <x:f>'逐题结果'!D102</x:f>
        <x:v>Others</x:v>
      </x:c>
      <x:c r="E102" s="13" t="str">
        <x:f>'逐题结果'!E102</x:f>
        <x:v>Others</x:v>
      </x:c>
      <x:c r="F102" s="13" t="n">
        <x:f>'逐题结果'!I102</x:f>
        <x:v>1</x:v>
      </x:c>
      <x:c r="G102" s="13" t="n">
        <x:f>'逐题结果'!J102</x:f>
        <x:v>1</x:v>
      </x:c>
      <x:c r="H102" s="10" t="n">
        <x:f>IF(F102=1,'逐题结果'!K102,"")</x:f>
        <x:v>0</x:v>
      </x:c>
      <x:c r="I102" s="13" t="str">
        <x:f>'逐题结果'!D203</x:f>
        <x:v>AP</x:v>
      </x:c>
      <x:c r="J102" s="13" t="str">
        <x:f>'逐题结果'!E203</x:f>
        <x:v>AP</x:v>
      </x:c>
      <x:c r="K102" s="13" t="n">
        <x:f>'逐题结果'!I203</x:f>
        <x:v>1</x:v>
      </x:c>
      <x:c r="L102" s="13" t="n">
        <x:f>'逐题结果'!J203</x:f>
        <x:v>0</x:v>
      </x:c>
      <x:c r="M102" s="10" t="n">
        <x:f>IF(K102=1,'逐题结果'!K203,"")</x:f>
        <x:v>300</x:v>
      </x:c>
      <x:c r="N102" s="13" t="str">
        <x:f>IF(G102=1,IF(L102=1,"两组均匹配","实验2丢失匹配"),IF(L102=1,"实验2新增匹配","两组均不匹配"))</x:f>
        <x:v>实验2丢失匹配</x:v>
      </x:c>
      <x:c r="O102" s="2"/>
      <x:c r="P102" s="2"/>
    </x:row>
    <x:row r="103" ht="23" customHeight="1">
      <x:c r="A103" s="13" t="str">
        <x:f>'逐题结果'!B103</x:f>
        <x:v>OR-099</x:v>
      </x:c>
      <x:c r="B103" s="13" t="str">
        <x:f>'逐题结果'!C103</x:f>
        <x:v>FLP</x:v>
      </x:c>
      <x:c r="C103" s="10" t="n">
        <x:f>'逐题结果'!L103</x:f>
        <x:v>10419</x:v>
      </x:c>
      <x:c r="D103" s="13" t="str">
        <x:f>'逐题结果'!D103</x:f>
        <x:v>FLP</x:v>
      </x:c>
      <x:c r="E103" s="13" t="str">
        <x:f>'逐题结果'!E103</x:f>
        <x:v>FLP</x:v>
      </x:c>
      <x:c r="F103" s="13" t="n">
        <x:f>'逐题结果'!I103</x:f>
        <x:v>1</x:v>
      </x:c>
      <x:c r="G103" s="13" t="n">
        <x:f>'逐题结果'!J103</x:f>
        <x:v>1</x:v>
      </x:c>
      <x:c r="H103" s="10" t="n">
        <x:f>IF(F103=1,'逐题结果'!K103,"")</x:f>
        <x:v>10419</x:v>
      </x:c>
      <x:c r="I103" s="13" t="str">
        <x:f>'逐题结果'!D204</x:f>
        <x:v>Mixture</x:v>
      </x:c>
      <x:c r="J103" s="13" t="str">
        <x:f>'逐题结果'!E204</x:f>
        <x:v>Others</x:v>
      </x:c>
      <x:c r="K103" s="13" t="n">
        <x:f>'逐题结果'!I204</x:f>
        <x:v>1</x:v>
      </x:c>
      <x:c r="L103" s="13" t="n">
        <x:f>'逐题结果'!J204</x:f>
        <x:v>1</x:v>
      </x:c>
      <x:c r="M103" s="10" t="n">
        <x:f>IF(K103=1,'逐题结果'!K204,"")</x:f>
        <x:v>10419</x:v>
      </x:c>
      <x:c r="N103" s="13" t="str">
        <x:f>IF(G103=1,IF(L103=1,"两组均匹配","实验2丢失匹配"),IF(L103=1,"实验2新增匹配","两组均不匹配"))</x:f>
        <x:v>两组均匹配</x:v>
      </x:c>
      <x:c r="O103" s="2"/>
      <x:c r="P103" s="2"/>
    </x:row>
    <x:row r="104" ht="23" customHeight="1">
      <x:c r="A104" s="13" t="str">
        <x:f>'逐题结果'!B104</x:f>
        <x:v>OR-100</x:v>
      </x:c>
      <x:c r="B104" s="13" t="str">
        <x:f>'逐题结果'!C104</x:f>
        <x:v>Others</x:v>
      </x:c>
      <x:c r="C104" s="10" t="n">
        <x:f>'逐题结果'!L104</x:f>
        <x:v>1382200.722</x:v>
      </x:c>
      <x:c r="D104" s="13" t="str">
        <x:f>'逐题结果'!D104</x:f>
        <x:v>RA</x:v>
      </x:c>
      <x:c r="E104" s="13" t="str">
        <x:f>'逐题结果'!E104</x:f>
        <x:v>RA</x:v>
      </x:c>
      <x:c r="F104" s="13" t="n">
        <x:f>'逐题结果'!I104</x:f>
        <x:v>1</x:v>
      </x:c>
      <x:c r="G104" s="13" t="n">
        <x:f>'逐题结果'!J104</x:f>
        <x:v>0</x:v>
      </x:c>
      <x:c r="H104" s="10" t="n">
        <x:f>IF(F104=1,'逐题结果'!K104,"")</x:f>
        <x:v>1382045</x:v>
      </x:c>
      <x:c r="I104" s="13" t="str">
        <x:f>'逐题结果'!D205</x:f>
        <x:v>RA</x:v>
      </x:c>
      <x:c r="J104" s="13" t="str">
        <x:f>'逐题结果'!E205</x:f>
        <x:v>RA</x:v>
      </x:c>
      <x:c r="K104" s="13" t="n">
        <x:f>'逐题结果'!I205</x:f>
        <x:v>1</x:v>
      </x:c>
      <x:c r="L104" s="13" t="n">
        <x:f>'逐题结果'!J205</x:f>
        <x:v>0</x:v>
      </x:c>
      <x:c r="M104" s="10" t="n">
        <x:f>IF(K104=1,'逐题结果'!K205,"")</x:f>
        <x:v>1382045</x:v>
      </x:c>
      <x:c r="N104" s="13" t="str">
        <x:f>IF(G104=1,IF(L104=1,"两组均匹配","实验2丢失匹配"),IF(L104=1,"实验2新增匹配","两组均不匹配"))</x:f>
        <x:v>两组均不匹配</x:v>
      </x:c>
      <x:c r="O104" s="2"/>
      <x:c r="P104" s="2"/>
    </x:row>
    <x:row r="105" ht="23" customHeight="1">
      <x:c r="A105" s="13" t="str">
        <x:f>'逐题结果'!B105</x:f>
        <x:v>OR-101</x:v>
      </x:c>
      <x:c r="B105" s="13" t="str">
        <x:f>'逐题结果'!C105</x:f>
        <x:v>Mixture</x:v>
      </x:c>
      <x:c r="C105" s="10" t="n">
        <x:f>'逐题结果'!L105</x:f>
        <x:v>25820.15</x:v>
      </x:c>
      <x:c r="D105" s="13" t="str">
        <x:f>'逐题结果'!D105</x:f>
        <x:v>RA</x:v>
      </x:c>
      <x:c r="E105" s="13" t="str">
        <x:f>'逐题结果'!E105</x:f>
        <x:v>RA</x:v>
      </x:c>
      <x:c r="F105" s="13" t="n">
        <x:f>'逐题结果'!I105</x:f>
        <x:v>1</x:v>
      </x:c>
      <x:c r="G105" s="13" t="n">
        <x:f>'逐题结果'!J105</x:f>
        <x:v>1</x:v>
      </x:c>
      <x:c r="H105" s="10" t="n">
        <x:f>IF(F105=1,'逐题结果'!K105,"")</x:f>
        <x:v>25820.15355597092</x:v>
      </x:c>
      <x:c r="I105" s="13" t="str">
        <x:f>'逐题结果'!D206</x:f>
        <x:v>RA</x:v>
      </x:c>
      <x:c r="J105" s="13" t="str">
        <x:f>'逐题结果'!E206</x:f>
        <x:v>RA</x:v>
      </x:c>
      <x:c r="K105" s="13" t="n">
        <x:f>'逐题结果'!I206</x:f>
        <x:v>0</x:v>
      </x:c>
      <x:c r="L105" s="13" t="n">
        <x:f>'逐题结果'!J206</x:f>
        <x:v>0</x:v>
      </x:c>
      <x:c r="M105" s="10" t="str">
        <x:f>IF(K105=1,'逐题结果'!K206,"")</x:f>
      </x:c>
      <x:c r="N105" s="13" t="str">
        <x:f>IF(G105=1,IF(L105=1,"两组均匹配","实验2丢失匹配"),IF(L105=1,"实验2新增匹配","两组均不匹配"))</x:f>
        <x:v>实验2丢失匹配</x:v>
      </x:c>
      <x:c r="O105" s="2"/>
      <x:c r="P105" s="2" t="str">
        <x:v>ValueError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ea2480d7766d4351"/>
  </x:tableParts>
</x:worksheet>
</file>

<file path=xl/worksheets/sheet4.xml><?xml version="1.0" encoding="utf-8"?>
<x:worksheet xmlns:x="http://schemas.openxmlformats.org/spreadsheetml/2006/main">
  <x:sheetPr>
    <x:tabColor rgb="FF117C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20" hidden="0" customWidth="1"/>
    <x:col min="13" max="13" width="16" hidden="0" customWidth="1"/>
    <x:col min="14" max="14" width="13" hidden="0" customWidth="1"/>
    <x:col min="15" max="15" width="26" hidden="0" customWidth="1"/>
    <x:col min="16" max="16" width="21" hidden="0" customWidth="1"/>
    <x:col min="17" max="17" width="25" hidden="0" customWidth="1"/>
    <x:col min="18" max="18" width="47" hidden="0" customWidth="1"/>
    <x:col min="19" max="19" width="16" hidden="0" customWidth="1"/>
  </x:cols>
  <x:sheetData>
    <x:row r="1" ht="34" customHeight="1">
      <x:c r="A1" s="3" t="str">
        <x:v>GPT-4.1 LOTO｜202 条逐题结果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5" t="str">
        <x:v>来源：gpt41/examples_only 与 examples_and_route 下全部七折 results.csv；已与 case_summary.csv 逐单元格核对。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2"/>
    </x:row>
    <x:row r="3" ht="32" customHeight="1">
      <x:c r="A3" s="5" t="str">
        <x:v>实验 1＝仅删同类示例；实验 2＝另禁用同类 route。标记 1＝是、0＝否；实验2语义分类正确为空。完整题干、错误文本和产物路径见 case_details.csv。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2"/>
    </x:row>
    <x:row r="4" ht="32" customHeight="1">
      <x:c r="A4" s="8" t="str">
        <x:v>实验</x:v>
      </x:c>
      <x:c r="B4" s="8" t="str">
        <x:v>题号</x:v>
      </x:c>
      <x:c r="C4" s="8" t="str">
        <x:v>真实类别</x:v>
      </x:c>
      <x:c r="D4" s="8" t="str">
        <x:v>预测标签</x:v>
      </x:c>
      <x:c r="E4" s="8" t="str">
        <x:v>选择 route</x:v>
      </x:c>
      <x:c r="F4" s="8" t="str">
        <x:v>禁用 route</x:v>
      </x:c>
      <x:c r="G4" s="8" t="str">
        <x:v>路由合规</x:v>
      </x:c>
      <x:c r="H4" s="8" t="str">
        <x:v>分类正确</x:v>
      </x:c>
      <x:c r="I4" s="8" t="str">
        <x:v>求解成功</x:v>
      </x:c>
      <x:c r="J4" s="8" t="str">
        <x:v>目标匹配</x:v>
      </x:c>
      <x:c r="K4" s="8" t="str">
        <x:v>所得目标值</x:v>
      </x:c>
      <x:c r="L4" s="8" t="str">
        <x:v>参考目标值</x:v>
      </x:c>
      <x:c r="M4" s="8" t="str">
        <x:v>绝对误差</x:v>
      </x:c>
      <x:c r="N4" s="8" t="str">
        <x:v>相对误差</x:v>
      </x:c>
      <x:c r="O4" s="8" t="str">
        <x:v>结果</x:v>
      </x:c>
      <x:c r="P4" s="8" t="str">
        <x:v>最终阶段</x:v>
      </x:c>
      <x:c r="Q4" s="8" t="str">
        <x:v>错误类型</x:v>
      </x:c>
      <x:c r="R4" s="8" t="str">
        <x:v>允许标签</x:v>
      </x:c>
      <x:c r="S4" s="8" t="str">
        <x:v>真实route一致</x:v>
      </x:c>
    </x:row>
    <x:row r="5" ht="23" customHeight="1">
      <x:c r="A5" s="12" t="n">
        <x:v>1</x:v>
      </x:c>
      <x:c r="B5" s="12" t="str">
        <x:v>OR-001</x:v>
      </x:c>
      <x:c r="C5" s="12" t="str">
        <x:v>TP</x:v>
      </x:c>
      <x:c r="D5" s="12" t="str">
        <x:v>TP</x:v>
      </x:c>
      <x:c r="E5" s="12" t="str">
        <x:v>TP</x:v>
      </x:c>
      <x:c r="F5" s="12"/>
      <x:c r="G5" s="12" t="n">
        <x:v>1</x:v>
      </x:c>
      <x:c r="H5" s="12" t="n">
        <x:v>1</x:v>
      </x:c>
      <x:c r="I5" s="12" t="n">
        <x:v>1</x:v>
      </x:c>
      <x:c r="J5" s="12" t="n">
        <x:v>1</x:v>
      </x:c>
      <x:c r="K5" s="10" t="n">
        <x:v>172752.82458839755</x:v>
      </x:c>
      <x:c r="L5" s="10" t="n">
        <x:v>172752.8246</x:v>
      </x:c>
      <x:c r="M5" s="10" t="n">
        <x:v>0.000011602445738390088</x:v>
      </x:c>
      <x:c r="N5" s="11" t="n">
        <x:v>6.716211885539317e-11</x:v>
      </x:c>
      <x:c r="O5" s="2" t="str">
        <x:v>目标匹配</x:v>
      </x:c>
      <x:c r="P5" s="2" t="str">
        <x:v>completed</x:v>
      </x:c>
      <x:c r="Q5" s="2"/>
      <x:c r="R5" s="2" t="str">
        <x:v>TP,NRM,RA,FLP,AP,Mixture,Others</x:v>
      </x:c>
      <x:c r="S5" s="13" t="n">
        <x:v>1</x:v>
      </x:c>
    </x:row>
    <x:row r="6" ht="23" customHeight="1">
      <x:c r="A6" s="12" t="n">
        <x:v>1</x:v>
      </x:c>
      <x:c r="B6" s="12" t="str">
        <x:v>OR-002</x:v>
      </x:c>
      <x:c r="C6" s="12" t="str">
        <x:v>TP</x:v>
      </x:c>
      <x:c r="D6" s="12" t="str">
        <x:v>TP</x:v>
      </x:c>
      <x:c r="E6" s="12" t="str">
        <x:v>TP</x:v>
      </x:c>
      <x:c r="F6" s="12"/>
      <x:c r="G6" s="12" t="n">
        <x:v>1</x:v>
      </x:c>
      <x:c r="H6" s="12" t="n">
        <x:v>1</x:v>
      </x:c>
      <x:c r="I6" s="12" t="n">
        <x:v>1</x:v>
      </x:c>
      <x:c r="J6" s="12" t="n">
        <x:v>1</x:v>
      </x:c>
      <x:c r="K6" s="10" t="n">
        <x:v>6464420.6996351</x:v>
      </x:c>
      <x:c r="L6" s="10" t="n">
        <x:v>6464420.7</x:v>
      </x:c>
      <x:c r="M6" s="10" t="n">
        <x:v>0.000364900566637516</x:v>
      </x:c>
      <x:c r="N6" s="11" t="n">
        <x:v>5.6447527716987234e-11</x:v>
      </x:c>
      <x:c r="O6" s="2" t="str">
        <x:v>目标匹配</x:v>
      </x:c>
      <x:c r="P6" s="2" t="str">
        <x:v>completed</x:v>
      </x:c>
      <x:c r="Q6" s="2"/>
      <x:c r="R6" s="2" t="str">
        <x:v>TP,NRM,RA,FLP,AP,Mixture,Others</x:v>
      </x:c>
      <x:c r="S6" s="13" t="n">
        <x:v>1</x:v>
      </x:c>
    </x:row>
    <x:row r="7" ht="23" customHeight="1">
      <x:c r="A7" s="12" t="n">
        <x:v>1</x:v>
      </x:c>
      <x:c r="B7" s="12" t="str">
        <x:v>OR-003</x:v>
      </x:c>
      <x:c r="C7" s="12" t="str">
        <x:v>TP</x:v>
      </x:c>
      <x:c r="D7" s="12" t="str">
        <x:v>TP</x:v>
      </x:c>
      <x:c r="E7" s="12" t="str">
        <x:v>TP</x:v>
      </x:c>
      <x:c r="F7" s="12"/>
      <x:c r="G7" s="12" t="n">
        <x:v>1</x:v>
      </x:c>
      <x:c r="H7" s="12" t="n">
        <x:v>1</x:v>
      </x:c>
      <x:c r="I7" s="12" t="n">
        <x:v>0</x:v>
      </x:c>
      <x:c r="J7" s="12" t="n">
        <x:v>0</x:v>
      </x:c>
      <x:c r="K7" s="10"/>
      <x:c r="L7" s="10" t="n">
        <x:v>36778.51094</x:v>
      </x:c>
      <x:c r="M7" s="10"/>
      <x:c r="N7" s="11"/>
      <x:c r="O7" s="2" t="str">
        <x:v>执行失败</x:v>
      </x:c>
      <x:c r="P7" s="2" t="str">
        <x:v>formulation</x:v>
      </x:c>
      <x:c r="Q7" s="2" t="str">
        <x:v>APITimeoutError</x:v>
      </x:c>
      <x:c r="R7" s="2" t="str">
        <x:v>TP,NRM,RA,FLP,AP,Mixture,Others</x:v>
      </x:c>
      <x:c r="S7" s="13" t="n">
        <x:v>1</x:v>
      </x:c>
    </x:row>
    <x:row r="8" ht="23" customHeight="1">
      <x:c r="A8" s="12" t="n">
        <x:v>1</x:v>
      </x:c>
      <x:c r="B8" s="12" t="str">
        <x:v>OR-004</x:v>
      </x:c>
      <x:c r="C8" s="12" t="str">
        <x:v>TP</x:v>
      </x:c>
      <x:c r="D8" s="12" t="str">
        <x:v>TP</x:v>
      </x:c>
      <x:c r="E8" s="12" t="str">
        <x:v>TP</x:v>
      </x:c>
      <x:c r="F8" s="12"/>
      <x:c r="G8" s="12" t="n">
        <x:v>1</x:v>
      </x:c>
      <x:c r="H8" s="12" t="n">
        <x:v>1</x:v>
      </x:c>
      <x:c r="I8" s="12" t="n">
        <x:v>1</x:v>
      </x:c>
      <x:c r="J8" s="12" t="n">
        <x:v>1</x:v>
      </x:c>
      <x:c r="K8" s="10" t="n">
        <x:v>913520.1122932937</x:v>
      </x:c>
      <x:c r="L8" s="10" t="n">
        <x:v>913520.1123</x:v>
      </x:c>
      <x:c r="M8" s="10" t="n">
        <x:v>0.000006706337444484234</x:v>
      </x:c>
      <x:c r="N8" s="11" t="n">
        <x:v>7.34120393649513e-12</x:v>
      </x:c>
      <x:c r="O8" s="2" t="str">
        <x:v>目标匹配</x:v>
      </x:c>
      <x:c r="P8" s="2" t="str">
        <x:v>completed</x:v>
      </x:c>
      <x:c r="Q8" s="2"/>
      <x:c r="R8" s="2" t="str">
        <x:v>TP,NRM,RA,FLP,AP,Mixture,Others</x:v>
      </x:c>
      <x:c r="S8" s="13" t="n">
        <x:v>1</x:v>
      </x:c>
    </x:row>
    <x:row r="9" ht="23" customHeight="1">
      <x:c r="A9" s="12" t="n">
        <x:v>1</x:v>
      </x:c>
      <x:c r="B9" s="12" t="str">
        <x:v>OR-005</x:v>
      </x:c>
      <x:c r="C9" s="12" t="str">
        <x:v>TP</x:v>
      </x:c>
      <x:c r="D9" s="12" t="str">
        <x:v>TP</x:v>
      </x:c>
      <x:c r="E9" s="12" t="str">
        <x:v>TP</x:v>
      </x:c>
      <x:c r="F9" s="12"/>
      <x:c r="G9" s="12" t="n">
        <x:v>1</x:v>
      </x:c>
      <x:c r="H9" s="12" t="n">
        <x:v>1</x:v>
      </x:c>
      <x:c r="I9" s="12" t="n">
        <x:v>1</x:v>
      </x:c>
      <x:c r="J9" s="12" t="n">
        <x:v>1</x:v>
      </x:c>
      <x:c r="K9" s="10" t="n">
        <x:v>2710.9341837579004</x:v>
      </x:c>
      <x:c r="L9" s="10" t="n">
        <x:v>2710.934184</x:v>
      </x:c>
      <x:c r="M9" s="10" t="n">
        <x:v>2.4209975890698843e-7</x:v>
      </x:c>
      <x:c r="N9" s="11" t="n">
        <x:v>8.930491943916127e-11</x:v>
      </x:c>
      <x:c r="O9" s="2" t="str">
        <x:v>目标匹配</x:v>
      </x:c>
      <x:c r="P9" s="2" t="str">
        <x:v>completed</x:v>
      </x:c>
      <x:c r="Q9" s="2"/>
      <x:c r="R9" s="2" t="str">
        <x:v>TP,NRM,RA,FLP,AP,Mixture,Others</x:v>
      </x:c>
      <x:c r="S9" s="13" t="n">
        <x:v>1</x:v>
      </x:c>
    </x:row>
    <x:row r="10" ht="23" customHeight="1">
      <x:c r="A10" s="12" t="n">
        <x:v>1</x:v>
      </x:c>
      <x:c r="B10" s="12" t="str">
        <x:v>OR-006</x:v>
      </x:c>
      <x:c r="C10" s="12" t="str">
        <x:v>TP</x:v>
      </x:c>
      <x:c r="D10" s="12" t="str">
        <x:v>TP</x:v>
      </x:c>
      <x:c r="E10" s="12" t="str">
        <x:v>TP</x:v>
      </x:c>
      <x:c r="F10" s="12"/>
      <x:c r="G10" s="12" t="n">
        <x:v>1</x:v>
      </x:c>
      <x:c r="H10" s="12" t="n">
        <x:v>1</x:v>
      </x:c>
      <x:c r="I10" s="12" t="n">
        <x:v>1</x:v>
      </x:c>
      <x:c r="J10" s="12" t="n">
        <x:v>1</x:v>
      </x:c>
      <x:c r="K10" s="10" t="n">
        <x:v>6340.972286592267</x:v>
      </x:c>
      <x:c r="L10" s="10" t="n">
        <x:v>6340.972287</x:v>
      </x:c>
      <x:c r="M10" s="10" t="n">
        <x:v>4.0773284126771614e-7</x:v>
      </x:c>
      <x:c r="N10" s="11" t="n">
        <x:v>6.43013126084202e-11</x:v>
      </x:c>
      <x:c r="O10" s="2" t="str">
        <x:v>目标匹配</x:v>
      </x:c>
      <x:c r="P10" s="2" t="str">
        <x:v>completed</x:v>
      </x:c>
      <x:c r="Q10" s="2"/>
      <x:c r="R10" s="2" t="str">
        <x:v>TP,NRM,RA,FLP,AP,Mixture,Others</x:v>
      </x:c>
      <x:c r="S10" s="13" t="n">
        <x:v>1</x:v>
      </x:c>
    </x:row>
    <x:row r="11" ht="23" customHeight="1">
      <x:c r="A11" s="12" t="n">
        <x:v>1</x:v>
      </x:c>
      <x:c r="B11" s="12" t="str">
        <x:v>OR-007</x:v>
      </x:c>
      <x:c r="C11" s="12" t="str">
        <x:v>TP</x:v>
      </x:c>
      <x:c r="D11" s="12" t="str">
        <x:v>TP</x:v>
      </x:c>
      <x:c r="E11" s="12" t="str">
        <x:v>TP</x:v>
      </x:c>
      <x:c r="F11" s="12"/>
      <x:c r="G11" s="12" t="n">
        <x:v>1</x:v>
      </x:c>
      <x:c r="H11" s="12" t="n">
        <x:v>1</x:v>
      </x:c>
      <x:c r="I11" s="12" t="n">
        <x:v>1</x:v>
      </x:c>
      <x:c r="J11" s="12" t="n">
        <x:v>1</x:v>
      </x:c>
      <x:c r="K11" s="10" t="n">
        <x:v>10291.2770066575</x:v>
      </x:c>
      <x:c r="L11" s="10" t="n">
        <x:v>10291.27701</x:v>
      </x:c>
      <x:c r="M11" s="10" t="n">
        <x:v>0.0000033425003493903205</x:v>
      </x:c>
      <x:c r="N11" s="11" t="n">
        <x:v>3.2478965886764336e-10</x:v>
      </x:c>
      <x:c r="O11" s="2" t="str">
        <x:v>目标匹配</x:v>
      </x:c>
      <x:c r="P11" s="2" t="str">
        <x:v>completed</x:v>
      </x:c>
      <x:c r="Q11" s="2"/>
      <x:c r="R11" s="2" t="str">
        <x:v>TP,NRM,RA,FLP,AP,Mixture,Others</x:v>
      </x:c>
      <x:c r="S11" s="13" t="n">
        <x:v>1</x:v>
      </x:c>
    </x:row>
    <x:row r="12" ht="23" customHeight="1">
      <x:c r="A12" s="12" t="n">
        <x:v>1</x:v>
      </x:c>
      <x:c r="B12" s="12" t="str">
        <x:v>OR-008</x:v>
      </x:c>
      <x:c r="C12" s="12" t="str">
        <x:v>TP</x:v>
      </x:c>
      <x:c r="D12" s="12" t="str">
        <x:v>TP</x:v>
      </x:c>
      <x:c r="E12" s="12" t="str">
        <x:v>TP</x:v>
      </x:c>
      <x:c r="F12" s="12"/>
      <x:c r="G12" s="12" t="n">
        <x:v>1</x:v>
      </x:c>
      <x:c r="H12" s="12" t="n">
        <x:v>1</x:v>
      </x:c>
      <x:c r="I12" s="12" t="n">
        <x:v>0</x:v>
      </x:c>
      <x:c r="J12" s="12" t="n">
        <x:v>0</x:v>
      </x:c>
      <x:c r="K12" s="10"/>
      <x:c r="L12" s="10" t="n">
        <x:v>660</x:v>
      </x:c>
      <x:c r="M12" s="10"/>
      <x:c r="N12" s="11"/>
      <x:c r="O12" s="2" t="str">
        <x:v>执行失败</x:v>
      </x:c>
      <x:c r="P12" s="2" t="str">
        <x:v>solve</x:v>
      </x:c>
      <x:c r="Q12" s="2" t="str">
        <x:v>TypeError</x:v>
      </x:c>
      <x:c r="R12" s="2" t="str">
        <x:v>TP,NRM,RA,FLP,AP,Mixture,Others</x:v>
      </x:c>
      <x:c r="S12" s="13" t="n">
        <x:v>1</x:v>
      </x:c>
    </x:row>
    <x:row r="13" ht="23" customHeight="1">
      <x:c r="A13" s="12" t="n">
        <x:v>1</x:v>
      </x:c>
      <x:c r="B13" s="12" t="str">
        <x:v>OR-009</x:v>
      </x:c>
      <x:c r="C13" s="12" t="str">
        <x:v>TP</x:v>
      </x:c>
      <x:c r="D13" s="12" t="str">
        <x:v>TP</x:v>
      </x:c>
      <x:c r="E13" s="12" t="str">
        <x:v>TP</x:v>
      </x:c>
      <x:c r="F13" s="12"/>
      <x:c r="G13" s="12" t="n">
        <x:v>1</x:v>
      </x:c>
      <x:c r="H13" s="12" t="n">
        <x:v>1</x:v>
      </x:c>
      <x:c r="I13" s="12" t="n">
        <x:v>1</x:v>
      </x:c>
      <x:c r="J13" s="12" t="n">
        <x:v>1</x:v>
      </x:c>
      <x:c r="K13" s="10" t="n">
        <x:v>238781.5119254966</x:v>
      </x:c>
      <x:c r="L13" s="10" t="n">
        <x:v>238781.5119</x:v>
      </x:c>
      <x:c r="M13" s="10" t="n">
        <x:v>0.0000254965852946043</x:v>
      </x:c>
      <x:c r="N13" s="11" t="n">
        <x:v>1.0677788699688814e-10</x:v>
      </x:c>
      <x:c r="O13" s="2" t="str">
        <x:v>目标匹配</x:v>
      </x:c>
      <x:c r="P13" s="2" t="str">
        <x:v>completed</x:v>
      </x:c>
      <x:c r="Q13" s="2"/>
      <x:c r="R13" s="2" t="str">
        <x:v>TP,NRM,RA,FLP,AP,Mixture,Others</x:v>
      </x:c>
      <x:c r="S13" s="13" t="n">
        <x:v>1</x:v>
      </x:c>
    </x:row>
    <x:row r="14" ht="23" customHeight="1">
      <x:c r="A14" s="12" t="n">
        <x:v>1</x:v>
      </x:c>
      <x:c r="B14" s="12" t="str">
        <x:v>OR-010</x:v>
      </x:c>
      <x:c r="C14" s="12" t="str">
        <x:v>NRM</x:v>
      </x:c>
      <x:c r="D14" s="12" t="str">
        <x:v>NRM</x:v>
      </x:c>
      <x:c r="E14" s="12" t="str">
        <x:v>NRM</x:v>
      </x:c>
      <x:c r="F14" s="12"/>
      <x:c r="G14" s="12" t="n">
        <x:v>1</x:v>
      </x:c>
      <x:c r="H14" s="12" t="n">
        <x:v>1</x:v>
      </x:c>
      <x:c r="I14" s="12" t="n">
        <x:v>0</x:v>
      </x:c>
      <x:c r="J14" s="12" t="n">
        <x:v>0</x:v>
      </x:c>
      <x:c r="K14" s="10"/>
      <x:c r="L14" s="10" t="n">
        <x:v>4003445.21</x:v>
      </x:c>
      <x:c r="M14" s="10"/>
      <x:c r="N14" s="11"/>
      <x:c r="O14" s="2" t="str">
        <x:v>执行失败</x:v>
      </x:c>
      <x:c r="P14" s="2" t="str">
        <x:v>formulation</x:v>
      </x:c>
      <x:c r="Q14" s="2" t="str">
        <x:v>ModelOutputTruncated</x:v>
      </x:c>
      <x:c r="R14" s="2" t="str">
        <x:v>TP,NRM,RA,FLP,AP,Mixture,Others</x:v>
      </x:c>
      <x:c r="S14" s="13" t="n">
        <x:v>1</x:v>
      </x:c>
    </x:row>
    <x:row r="15" ht="23" customHeight="1">
      <x:c r="A15" s="12" t="n">
        <x:v>1</x:v>
      </x:c>
      <x:c r="B15" s="12" t="str">
        <x:v>OR-011</x:v>
      </x:c>
      <x:c r="C15" s="12" t="str">
        <x:v>NRM</x:v>
      </x:c>
      <x:c r="D15" s="12" t="str">
        <x:v>NRM</x:v>
      </x:c>
      <x:c r="E15" s="12" t="str">
        <x:v>NRM</x:v>
      </x:c>
      <x:c r="F15" s="12"/>
      <x:c r="G15" s="12" t="n">
        <x:v>1</x:v>
      </x:c>
      <x:c r="H15" s="12" t="n">
        <x:v>1</x:v>
      </x:c>
      <x:c r="I15" s="12" t="n">
        <x:v>0</x:v>
      </x:c>
      <x:c r="J15" s="12" t="n">
        <x:v>0</x:v>
      </x:c>
      <x:c r="K15" s="10"/>
      <x:c r="L15" s="10" t="n">
        <x:v>3552260.54</x:v>
      </x:c>
      <x:c r="M15" s="10"/>
      <x:c r="N15" s="11"/>
      <x:c r="O15" s="2" t="str">
        <x:v>执行失败</x:v>
      </x:c>
      <x:c r="P15" s="2" t="str">
        <x:v>solve</x:v>
      </x:c>
      <x:c r="Q15" s="2" t="str">
        <x:v>TypeError</x:v>
      </x:c>
      <x:c r="R15" s="2" t="str">
        <x:v>TP,NRM,RA,FLP,AP,Mixture,Others</x:v>
      </x:c>
      <x:c r="S15" s="13" t="n">
        <x:v>1</x:v>
      </x:c>
    </x:row>
    <x:row r="16" ht="23" customHeight="1">
      <x:c r="A16" s="12" t="n">
        <x:v>1</x:v>
      </x:c>
      <x:c r="B16" s="12" t="str">
        <x:v>OR-012</x:v>
      </x:c>
      <x:c r="C16" s="12" t="str">
        <x:v>NRM</x:v>
      </x:c>
      <x:c r="D16" s="12" t="str">
        <x:v>NRM</x:v>
      </x:c>
      <x:c r="E16" s="12" t="str">
        <x:v>NRM</x:v>
      </x:c>
      <x:c r="F16" s="12"/>
      <x:c r="G16" s="12" t="n">
        <x:v>1</x:v>
      </x:c>
      <x:c r="H16" s="12" t="n">
        <x:v>1</x:v>
      </x:c>
      <x:c r="I16" s="12" t="n">
        <x:v>1</x:v>
      </x:c>
      <x:c r="J16" s="12" t="n">
        <x:v>1</x:v>
      </x:c>
      <x:c r="K16" s="10" t="n">
        <x:v>83748.37000000001</x:v>
      </x:c>
      <x:c r="L16" s="10" t="n">
        <x:v>83748.37</x:v>
      </x:c>
      <x:c r="M16" s="10" t="n">
        <x:v>1.4551915228366852e-11</x:v>
      </x:c>
      <x:c r="N16" s="11" t="n">
        <x:v>1.7375759347157268e-16</x:v>
      </x:c>
      <x:c r="O16" s="2" t="str">
        <x:v>目标匹配</x:v>
      </x:c>
      <x:c r="P16" s="2" t="str">
        <x:v>completed</x:v>
      </x:c>
      <x:c r="Q16" s="2"/>
      <x:c r="R16" s="2" t="str">
        <x:v>TP,NRM,RA,FLP,AP,Mixture,Others</x:v>
      </x:c>
      <x:c r="S16" s="13" t="n">
        <x:v>1</x:v>
      </x:c>
    </x:row>
    <x:row r="17" ht="23" customHeight="1">
      <x:c r="A17" s="12" t="n">
        <x:v>1</x:v>
      </x:c>
      <x:c r="B17" s="12" t="str">
        <x:v>OR-013</x:v>
      </x:c>
      <x:c r="C17" s="12" t="str">
        <x:v>NRM</x:v>
      </x:c>
      <x:c r="D17" s="12" t="str">
        <x:v>NRM</x:v>
      </x:c>
      <x:c r="E17" s="12" t="str">
        <x:v>NRM</x:v>
      </x:c>
      <x:c r="F17" s="12"/>
      <x:c r="G17" s="12" t="n">
        <x:v>1</x:v>
      </x:c>
      <x:c r="H17" s="12" t="n">
        <x:v>1</x:v>
      </x:c>
      <x:c r="I17" s="12" t="n">
        <x:v>0</x:v>
      </x:c>
      <x:c r="J17" s="12" t="n">
        <x:v>0</x:v>
      </x:c>
      <x:c r="K17" s="10"/>
      <x:c r="L17" s="10" t="n">
        <x:v>532.3</x:v>
      </x:c>
      <x:c r="M17" s="10"/>
      <x:c r="N17" s="11"/>
      <x:c r="O17" s="2" t="str">
        <x:v>执行失败</x:v>
      </x:c>
      <x:c r="P17" s="2" t="str">
        <x:v>formulation</x:v>
      </x:c>
      <x:c r="Q17" s="2" t="str">
        <x:v>ModelOutputTruncated</x:v>
      </x:c>
      <x:c r="R17" s="2" t="str">
        <x:v>TP,NRM,RA,FLP,AP,Mixture,Others</x:v>
      </x:c>
      <x:c r="S17" s="13" t="n">
        <x:v>1</x:v>
      </x:c>
    </x:row>
    <x:row r="18" ht="23" customHeight="1">
      <x:c r="A18" s="12" t="n">
        <x:v>1</x:v>
      </x:c>
      <x:c r="B18" s="12" t="str">
        <x:v>OR-014</x:v>
      </x:c>
      <x:c r="C18" s="12" t="str">
        <x:v>NRM</x:v>
      </x:c>
      <x:c r="D18" s="12" t="str">
        <x:v>NRM</x:v>
      </x:c>
      <x:c r="E18" s="12" t="str">
        <x:v>NRM</x:v>
      </x:c>
      <x:c r="F18" s="12"/>
      <x:c r="G18" s="12" t="n">
        <x:v>1</x:v>
      </x:c>
      <x:c r="H18" s="12" t="n">
        <x:v>1</x:v>
      </x:c>
      <x:c r="I18" s="12" t="n">
        <x:v>1</x:v>
      </x:c>
      <x:c r="J18" s="12" t="n">
        <x:v>1</x:v>
      </x:c>
      <x:c r="K18" s="10" t="n">
        <x:v>1794269</x:v>
      </x:c>
      <x:c r="L18" s="10" t="n">
        <x:v>1794269</x:v>
      </x:c>
      <x:c r="M18" s="10" t="n">
        <x:v>0</x:v>
      </x:c>
      <x:c r="N18" s="11" t="n">
        <x:v>0</x:v>
      </x:c>
      <x:c r="O18" s="2" t="str">
        <x:v>目标匹配</x:v>
      </x:c>
      <x:c r="P18" s="2" t="str">
        <x:v>completed</x:v>
      </x:c>
      <x:c r="Q18" s="2"/>
      <x:c r="R18" s="2" t="str">
        <x:v>TP,NRM,RA,FLP,AP,Mixture,Others</x:v>
      </x:c>
      <x:c r="S18" s="13" t="n">
        <x:v>1</x:v>
      </x:c>
    </x:row>
    <x:row r="19" ht="23" customHeight="1">
      <x:c r="A19" s="12" t="n">
        <x:v>1</x:v>
      </x:c>
      <x:c r="B19" s="12" t="str">
        <x:v>OR-015</x:v>
      </x:c>
      <x:c r="C19" s="12" t="str">
        <x:v>NRM</x:v>
      </x:c>
      <x:c r="D19" s="12" t="str">
        <x:v>NRM</x:v>
      </x:c>
      <x:c r="E19" s="12" t="str">
        <x:v>NRM</x:v>
      </x:c>
      <x:c r="F19" s="12"/>
      <x:c r="G19" s="12" t="n">
        <x:v>1</x:v>
      </x:c>
      <x:c r="H19" s="12" t="n">
        <x:v>1</x:v>
      </x:c>
      <x:c r="I19" s="12" t="n">
        <x:v>1</x:v>
      </x:c>
      <x:c r="J19" s="12" t="n">
        <x:v>1</x:v>
      </x:c>
      <x:c r="K19" s="10" t="n">
        <x:v>29660</x:v>
      </x:c>
      <x:c r="L19" s="10" t="n">
        <x:v>29660</x:v>
      </x:c>
      <x:c r="M19" s="10" t="n">
        <x:v>0</x:v>
      </x:c>
      <x:c r="N19" s="11" t="n">
        <x:v>0</x:v>
      </x:c>
      <x:c r="O19" s="2" t="str">
        <x:v>目标匹配</x:v>
      </x:c>
      <x:c r="P19" s="2" t="str">
        <x:v>completed</x:v>
      </x:c>
      <x:c r="Q19" s="2"/>
      <x:c r="R19" s="2" t="str">
        <x:v>TP,NRM,RA,FLP,AP,Mixture,Others</x:v>
      </x:c>
      <x:c r="S19" s="13" t="n">
        <x:v>1</x:v>
      </x:c>
    </x:row>
    <x:row r="20" ht="23" customHeight="1">
      <x:c r="A20" s="12" t="n">
        <x:v>1</x:v>
      </x:c>
      <x:c r="B20" s="12" t="str">
        <x:v>OR-016</x:v>
      </x:c>
      <x:c r="C20" s="12" t="str">
        <x:v>NRM</x:v>
      </x:c>
      <x:c r="D20" s="12" t="str">
        <x:v>NRM</x:v>
      </x:c>
      <x:c r="E20" s="12" t="str">
        <x:v>NRM</x:v>
      </x:c>
      <x:c r="F20" s="12"/>
      <x:c r="G20" s="12" t="n">
        <x:v>1</x:v>
      </x:c>
      <x:c r="H20" s="12" t="n">
        <x:v>1</x:v>
      </x:c>
      <x:c r="I20" s="12" t="n">
        <x:v>0</x:v>
      </x:c>
      <x:c r="J20" s="12" t="n">
        <x:v>0</x:v>
      </x:c>
      <x:c r="K20" s="10"/>
      <x:c r="L20" s="10" t="n">
        <x:v>1568955</x:v>
      </x:c>
      <x:c r="M20" s="10"/>
      <x:c r="N20" s="11"/>
      <x:c r="O20" s="2" t="str">
        <x:v>执行失败</x:v>
      </x:c>
      <x:c r="P20" s="2" t="str">
        <x:v>solve</x:v>
      </x:c>
      <x:c r="Q20" s="2" t="str">
        <x:v>TypeError</x:v>
      </x:c>
      <x:c r="R20" s="2" t="str">
        <x:v>TP,NRM,RA,FLP,AP,Mixture,Others</x:v>
      </x:c>
      <x:c r="S20" s="13" t="n">
        <x:v>1</x:v>
      </x:c>
    </x:row>
    <x:row r="21" ht="23" customHeight="1">
      <x:c r="A21" s="12" t="n">
        <x:v>1</x:v>
      </x:c>
      <x:c r="B21" s="12" t="str">
        <x:v>OR-017</x:v>
      </x:c>
      <x:c r="C21" s="12" t="str">
        <x:v>NRM</x:v>
      </x:c>
      <x:c r="D21" s="12" t="str">
        <x:v>NRM</x:v>
      </x:c>
      <x:c r="E21" s="12" t="str">
        <x:v>NRM</x:v>
      </x:c>
      <x:c r="F21" s="12"/>
      <x:c r="G21" s="12" t="n">
        <x:v>1</x:v>
      </x:c>
      <x:c r="H21" s="12" t="n">
        <x:v>1</x:v>
      </x:c>
      <x:c r="I21" s="12" t="n">
        <x:v>0</x:v>
      </x:c>
      <x:c r="J21" s="12" t="n">
        <x:v>0</x:v>
      </x:c>
      <x:c r="K21" s="10"/>
      <x:c r="L21" s="10" t="n">
        <x:v>2015.08</x:v>
      </x:c>
      <x:c r="M21" s="10"/>
      <x:c r="N21" s="11"/>
      <x:c r="O21" s="2" t="str">
        <x:v>执行失败</x:v>
      </x:c>
      <x:c r="P21" s="2" t="str">
        <x:v>solve</x:v>
      </x:c>
      <x:c r="Q21" s="2" t="str">
        <x:v>TypeError</x:v>
      </x:c>
      <x:c r="R21" s="2" t="str">
        <x:v>TP,NRM,RA,FLP,AP,Mixture,Others</x:v>
      </x:c>
      <x:c r="S21" s="13" t="n">
        <x:v>1</x:v>
      </x:c>
    </x:row>
    <x:row r="22" ht="23" customHeight="1">
      <x:c r="A22" s="12" t="n">
        <x:v>1</x:v>
      </x:c>
      <x:c r="B22" s="12" t="str">
        <x:v>OR-018</x:v>
      </x:c>
      <x:c r="C22" s="12" t="str">
        <x:v>NRM</x:v>
      </x:c>
      <x:c r="D22" s="12" t="str">
        <x:v>NRM</x:v>
      </x:c>
      <x:c r="E22" s="12" t="str">
        <x:v>NRM</x:v>
      </x:c>
      <x:c r="F22" s="12"/>
      <x:c r="G22" s="12" t="n">
        <x:v>1</x:v>
      </x:c>
      <x:c r="H22" s="12" t="n">
        <x:v>1</x:v>
      </x:c>
      <x:c r="I22" s="12" t="n">
        <x:v>0</x:v>
      </x:c>
      <x:c r="J22" s="12" t="n">
        <x:v>0</x:v>
      </x:c>
      <x:c r="K22" s="10"/>
      <x:c r="L22" s="10" t="n">
        <x:v>782819438.6</x:v>
      </x:c>
      <x:c r="M22" s="10"/>
      <x:c r="N22" s="11"/>
      <x:c r="O22" s="2" t="str">
        <x:v>执行失败</x:v>
      </x:c>
      <x:c r="P22" s="2" t="str">
        <x:v>solve</x:v>
      </x:c>
      <x:c r="Q22" s="2" t="str">
        <x:v>TypeError</x:v>
      </x:c>
      <x:c r="R22" s="2" t="str">
        <x:v>TP,NRM,RA,FLP,AP,Mixture,Others</x:v>
      </x:c>
      <x:c r="S22" s="13" t="n">
        <x:v>1</x:v>
      </x:c>
    </x:row>
    <x:row r="23" ht="23" customHeight="1">
      <x:c r="A23" s="12" t="n">
        <x:v>1</x:v>
      </x:c>
      <x:c r="B23" s="12" t="str">
        <x:v>OR-019</x:v>
      </x:c>
      <x:c r="C23" s="12" t="str">
        <x:v>NRM</x:v>
      </x:c>
      <x:c r="D23" s="12" t="str">
        <x:v>NRM</x:v>
      </x:c>
      <x:c r="E23" s="12" t="str">
        <x:v>NRM</x:v>
      </x:c>
      <x:c r="F23" s="12"/>
      <x:c r="G23" s="12" t="n">
        <x:v>1</x:v>
      </x:c>
      <x:c r="H23" s="12" t="n">
        <x:v>1</x:v>
      </x:c>
      <x:c r="I23" s="12" t="n">
        <x:v>1</x:v>
      </x:c>
      <x:c r="J23" s="12" t="n">
        <x:v>1</x:v>
      </x:c>
      <x:c r="K23" s="10" t="n">
        <x:v>7123134.6899999995</x:v>
      </x:c>
      <x:c r="L23" s="10" t="n">
        <x:v>7123134.69</x:v>
      </x:c>
      <x:c r="M23" s="10" t="n">
        <x:v>9.313225746154785e-10</x:v>
      </x:c>
      <x:c r="N23" s="11" t="n">
        <x:v>1.3074616936879492e-16</x:v>
      </x:c>
      <x:c r="O23" s="2" t="str">
        <x:v>目标匹配</x:v>
      </x:c>
      <x:c r="P23" s="2" t="str">
        <x:v>completed</x:v>
      </x:c>
      <x:c r="Q23" s="2"/>
      <x:c r="R23" s="2" t="str">
        <x:v>TP,NRM,RA,FLP,AP,Mixture,Others</x:v>
      </x:c>
      <x:c r="S23" s="13" t="n">
        <x:v>1</x:v>
      </x:c>
    </x:row>
    <x:row r="24" ht="23" customHeight="1">
      <x:c r="A24" s="12" t="n">
        <x:v>1</x:v>
      </x:c>
      <x:c r="B24" s="12" t="str">
        <x:v>OR-020</x:v>
      </x:c>
      <x:c r="C24" s="12" t="str">
        <x:v>NRM</x:v>
      </x:c>
      <x:c r="D24" s="12" t="str">
        <x:v>NRM</x:v>
      </x:c>
      <x:c r="E24" s="12" t="str">
        <x:v>NRM</x:v>
      </x:c>
      <x:c r="F24" s="12"/>
      <x:c r="G24" s="12" t="n">
        <x:v>1</x:v>
      </x:c>
      <x:c r="H24" s="12" t="n">
        <x:v>1</x:v>
      </x:c>
      <x:c r="I24" s="12" t="n">
        <x:v>0</x:v>
      </x:c>
      <x:c r="J24" s="12" t="n">
        <x:v>0</x:v>
      </x:c>
      <x:c r="K24" s="10"/>
      <x:c r="L24" s="10" t="n">
        <x:v>11258129.67</x:v>
      </x:c>
      <x:c r="M24" s="10"/>
      <x:c r="N24" s="11"/>
      <x:c r="O24" s="2" t="str">
        <x:v>执行失败</x:v>
      </x:c>
      <x:c r="P24" s="2" t="str">
        <x:v>formulation</x:v>
      </x:c>
      <x:c r="Q24" s="2" t="str">
        <x:v>ModelOutputTruncated</x:v>
      </x:c>
      <x:c r="R24" s="2" t="str">
        <x:v>TP,NRM,RA,FLP,AP,Mixture,Others</x:v>
      </x:c>
      <x:c r="S24" s="13" t="n">
        <x:v>1</x:v>
      </x:c>
    </x:row>
    <x:row r="25" ht="23" customHeight="1">
      <x:c r="A25" s="12" t="n">
        <x:v>1</x:v>
      </x:c>
      <x:c r="B25" s="12" t="str">
        <x:v>OR-021</x:v>
      </x:c>
      <x:c r="C25" s="12" t="str">
        <x:v>NRM</x:v>
      </x:c>
      <x:c r="D25" s="12" t="str">
        <x:v>NRM</x:v>
      </x:c>
      <x:c r="E25" s="12" t="str">
        <x:v>NRM</x:v>
      </x:c>
      <x:c r="F25" s="12"/>
      <x:c r="G25" s="12" t="n">
        <x:v>1</x:v>
      </x:c>
      <x:c r="H25" s="12" t="n">
        <x:v>1</x:v>
      </x:c>
      <x:c r="I25" s="12" t="n">
        <x:v>0</x:v>
      </x:c>
      <x:c r="J25" s="12" t="n">
        <x:v>0</x:v>
      </x:c>
      <x:c r="K25" s="10"/>
      <x:c r="L25" s="10" t="n">
        <x:v>6020981.48</x:v>
      </x:c>
      <x:c r="M25" s="10"/>
      <x:c r="N25" s="11"/>
      <x:c r="O25" s="2" t="str">
        <x:v>执行失败</x:v>
      </x:c>
      <x:c r="P25" s="2" t="str">
        <x:v>formulation</x:v>
      </x:c>
      <x:c r="Q25" s="2" t="str">
        <x:v>ModelOutputTruncated</x:v>
      </x:c>
      <x:c r="R25" s="2" t="str">
        <x:v>TP,NRM,RA,FLP,AP,Mixture,Others</x:v>
      </x:c>
      <x:c r="S25" s="13" t="n">
        <x:v>1</x:v>
      </x:c>
    </x:row>
    <x:row r="26" ht="23" customHeight="1">
      <x:c r="A26" s="12" t="n">
        <x:v>1</x:v>
      </x:c>
      <x:c r="B26" s="12" t="str">
        <x:v>OR-022</x:v>
      </x:c>
      <x:c r="C26" s="12" t="str">
        <x:v>NRM</x:v>
      </x:c>
      <x:c r="D26" s="12" t="str">
        <x:v>NRM</x:v>
      </x:c>
      <x:c r="E26" s="12" t="str">
        <x:v>NRM</x:v>
      </x:c>
      <x:c r="F26" s="12"/>
      <x:c r="G26" s="12" t="n">
        <x:v>1</x:v>
      </x:c>
      <x:c r="H26" s="12" t="n">
        <x:v>1</x:v>
      </x:c>
      <x:c r="I26" s="12" t="n">
        <x:v>0</x:v>
      </x:c>
      <x:c r="J26" s="12" t="n">
        <x:v>0</x:v>
      </x:c>
      <x:c r="K26" s="10"/>
      <x:c r="L26" s="10" t="n">
        <x:v>4049812.425</x:v>
      </x:c>
      <x:c r="M26" s="10"/>
      <x:c r="N26" s="11"/>
      <x:c r="O26" s="2" t="str">
        <x:v>执行失败</x:v>
      </x:c>
      <x:c r="P26" s="2" t="str">
        <x:v>solve</x:v>
      </x:c>
      <x:c r="Q26" s="2" t="str">
        <x:v>TypeError</x:v>
      </x:c>
      <x:c r="R26" s="2" t="str">
        <x:v>TP,NRM,RA,FLP,AP,Mixture,Others</x:v>
      </x:c>
      <x:c r="S26" s="13" t="n">
        <x:v>1</x:v>
      </x:c>
    </x:row>
    <x:row r="27" ht="23" customHeight="1">
      <x:c r="A27" s="12" t="n">
        <x:v>1</x:v>
      </x:c>
      <x:c r="B27" s="12" t="str">
        <x:v>OR-023</x:v>
      </x:c>
      <x:c r="C27" s="12" t="str">
        <x:v>NRM</x:v>
      </x:c>
      <x:c r="D27" s="12" t="str">
        <x:v>NRM</x:v>
      </x:c>
      <x:c r="E27" s="12" t="str">
        <x:v>NRM</x:v>
      </x:c>
      <x:c r="F27" s="12"/>
      <x:c r="G27" s="12" t="n">
        <x:v>1</x:v>
      </x:c>
      <x:c r="H27" s="12" t="n">
        <x:v>1</x:v>
      </x:c>
      <x:c r="I27" s="12" t="n">
        <x:v>1</x:v>
      </x:c>
      <x:c r="J27" s="12" t="n">
        <x:v>1</x:v>
      </x:c>
      <x:c r="K27" s="10" t="n">
        <x:v>63628</x:v>
      </x:c>
      <x:c r="L27" s="10" t="n">
        <x:v>63628</x:v>
      </x:c>
      <x:c r="M27" s="10" t="n">
        <x:v>0</x:v>
      </x:c>
      <x:c r="N27" s="11" t="n">
        <x:v>0</x:v>
      </x:c>
      <x:c r="O27" s="2" t="str">
        <x:v>目标匹配</x:v>
      </x:c>
      <x:c r="P27" s="2" t="str">
        <x:v>completed</x:v>
      </x:c>
      <x:c r="Q27" s="2"/>
      <x:c r="R27" s="2" t="str">
        <x:v>TP,NRM,RA,FLP,AP,Mixture,Others</x:v>
      </x:c>
      <x:c r="S27" s="13" t="n">
        <x:v>1</x:v>
      </x:c>
    </x:row>
    <x:row r="28" ht="23" customHeight="1">
      <x:c r="A28" s="12" t="n">
        <x:v>1</x:v>
      </x:c>
      <x:c r="B28" s="12" t="str">
        <x:v>OR-024</x:v>
      </x:c>
      <x:c r="C28" s="12" t="str">
        <x:v>NRM</x:v>
      </x:c>
      <x:c r="D28" s="12" t="str">
        <x:v>NRM</x:v>
      </x:c>
      <x:c r="E28" s="12" t="str">
        <x:v>NRM</x:v>
      </x:c>
      <x:c r="F28" s="12"/>
      <x:c r="G28" s="12" t="n">
        <x:v>1</x:v>
      </x:c>
      <x:c r="H28" s="12" t="n">
        <x:v>1</x:v>
      </x:c>
      <x:c r="I28" s="12" t="n">
        <x:v>0</x:v>
      </x:c>
      <x:c r="J28" s="12" t="n">
        <x:v>0</x:v>
      </x:c>
      <x:c r="K28" s="10"/>
      <x:c r="L28" s="10" t="n">
        <x:v>1264095.5</x:v>
      </x:c>
      <x:c r="M28" s="10"/>
      <x:c r="N28" s="11"/>
      <x:c r="O28" s="2" t="str">
        <x:v>执行失败</x:v>
      </x:c>
      <x:c r="P28" s="2" t="str">
        <x:v>solve</x:v>
      </x:c>
      <x:c r="Q28" s="2" t="str">
        <x:v>TypeError</x:v>
      </x:c>
      <x:c r="R28" s="2" t="str">
        <x:v>TP,NRM,RA,FLP,AP,Mixture,Others</x:v>
      </x:c>
      <x:c r="S28" s="13" t="n">
        <x:v>1</x:v>
      </x:c>
    </x:row>
    <x:row r="29" ht="23" customHeight="1">
      <x:c r="A29" s="12" t="n">
        <x:v>1</x:v>
      </x:c>
      <x:c r="B29" s="12" t="str">
        <x:v>OR-025</x:v>
      </x:c>
      <x:c r="C29" s="12" t="str">
        <x:v>NRM</x:v>
      </x:c>
      <x:c r="D29" s="12" t="str">
        <x:v>NRM</x:v>
      </x:c>
      <x:c r="E29" s="12" t="str">
        <x:v>NRM</x:v>
      </x:c>
      <x:c r="F29" s="12"/>
      <x:c r="G29" s="12" t="n">
        <x:v>1</x:v>
      </x:c>
      <x:c r="H29" s="12" t="n">
        <x:v>1</x:v>
      </x:c>
      <x:c r="I29" s="12" t="n">
        <x:v>1</x:v>
      </x:c>
      <x:c r="J29" s="12" t="n">
        <x:v>1</x:v>
      </x:c>
      <x:c r="K29" s="10" t="n">
        <x:v>5486959.829999999</x:v>
      </x:c>
      <x:c r="L29" s="10" t="n">
        <x:v>5486959.83</x:v>
      </x:c>
      <x:c r="M29" s="10" t="n">
        <x:v>9.313225746154785e-10</x:v>
      </x:c>
      <x:c r="N29" s="11" t="n">
        <x:v>1.6973380587250965e-16</x:v>
      </x:c>
      <x:c r="O29" s="2" t="str">
        <x:v>目标匹配</x:v>
      </x:c>
      <x:c r="P29" s="2" t="str">
        <x:v>completed</x:v>
      </x:c>
      <x:c r="Q29" s="2"/>
      <x:c r="R29" s="2" t="str">
        <x:v>TP,NRM,RA,FLP,AP,Mixture,Others</x:v>
      </x:c>
      <x:c r="S29" s="13" t="n">
        <x:v>1</x:v>
      </x:c>
    </x:row>
    <x:row r="30" ht="23" customHeight="1">
      <x:c r="A30" s="12" t="n">
        <x:v>1</x:v>
      </x:c>
      <x:c r="B30" s="12" t="str">
        <x:v>OR-026</x:v>
      </x:c>
      <x:c r="C30" s="12" t="str">
        <x:v>NRM</x:v>
      </x:c>
      <x:c r="D30" s="12" t="str">
        <x:v>NRM</x:v>
      </x:c>
      <x:c r="E30" s="12" t="str">
        <x:v>NRM</x:v>
      </x:c>
      <x:c r="F30" s="12"/>
      <x:c r="G30" s="12" t="n">
        <x:v>1</x:v>
      </x:c>
      <x:c r="H30" s="12" t="n">
        <x:v>1</x:v>
      </x:c>
      <x:c r="I30" s="12" t="n">
        <x:v>0</x:v>
      </x:c>
      <x:c r="J30" s="12" t="n">
        <x:v>0</x:v>
      </x:c>
      <x:c r="K30" s="10"/>
      <x:c r="L30" s="10" t="n">
        <x:v>8851.75</x:v>
      </x:c>
      <x:c r="M30" s="10"/>
      <x:c r="N30" s="11"/>
      <x:c r="O30" s="2" t="str">
        <x:v>执行失败</x:v>
      </x:c>
      <x:c r="P30" s="2" t="str">
        <x:v>solve</x:v>
      </x:c>
      <x:c r="Q30" s="2" t="str">
        <x:v>TypeError</x:v>
      </x:c>
      <x:c r="R30" s="2" t="str">
        <x:v>TP,NRM,RA,FLP,AP,Mixture,Others</x:v>
      </x:c>
      <x:c r="S30" s="13" t="n">
        <x:v>1</x:v>
      </x:c>
    </x:row>
    <x:row r="31" ht="23" customHeight="1">
      <x:c r="A31" s="12" t="n">
        <x:v>1</x:v>
      </x:c>
      <x:c r="B31" s="12" t="str">
        <x:v>OR-027</x:v>
      </x:c>
      <x:c r="C31" s="12" t="str">
        <x:v>NRM</x:v>
      </x:c>
      <x:c r="D31" s="12" t="str">
        <x:v>NRM</x:v>
      </x:c>
      <x:c r="E31" s="12" t="str">
        <x:v>NRM</x:v>
      </x:c>
      <x:c r="F31" s="12"/>
      <x:c r="G31" s="12" t="n">
        <x:v>1</x:v>
      </x:c>
      <x:c r="H31" s="12" t="n">
        <x:v>1</x:v>
      </x:c>
      <x:c r="I31" s="12" t="n">
        <x:v>1</x:v>
      </x:c>
      <x:c r="J31" s="12" t="n">
        <x:v>1</x:v>
      </x:c>
      <x:c r="K31" s="10" t="n">
        <x:v>784297054.11</x:v>
      </x:c>
      <x:c r="L31" s="10" t="n">
        <x:v>784297054.1</x:v>
      </x:c>
      <x:c r="M31" s="10" t="n">
        <x:v>0.009999990463256836</x:v>
      </x:c>
      <x:c r="N31" s="11" t="n">
        <x:v>1.2750258860441684e-11</x:v>
      </x:c>
      <x:c r="O31" s="2" t="str">
        <x:v>目标匹配</x:v>
      </x:c>
      <x:c r="P31" s="2" t="str">
        <x:v>completed</x:v>
      </x:c>
      <x:c r="Q31" s="2"/>
      <x:c r="R31" s="2" t="str">
        <x:v>TP,NRM,RA,FLP,AP,Mixture,Others</x:v>
      </x:c>
      <x:c r="S31" s="13" t="n">
        <x:v>1</x:v>
      </x:c>
    </x:row>
    <x:row r="32" ht="23" customHeight="1">
      <x:c r="A32" s="12" t="n">
        <x:v>1</x:v>
      </x:c>
      <x:c r="B32" s="12" t="str">
        <x:v>OR-028</x:v>
      </x:c>
      <x:c r="C32" s="12" t="str">
        <x:v>NRM</x:v>
      </x:c>
      <x:c r="D32" s="12" t="str">
        <x:v>NRM</x:v>
      </x:c>
      <x:c r="E32" s="12" t="str">
        <x:v>NRM</x:v>
      </x:c>
      <x:c r="F32" s="12"/>
      <x:c r="G32" s="12" t="n">
        <x:v>1</x:v>
      </x:c>
      <x:c r="H32" s="12" t="n">
        <x:v>1</x:v>
      </x:c>
      <x:c r="I32" s="12" t="n">
        <x:v>0</x:v>
      </x:c>
      <x:c r="J32" s="12" t="n">
        <x:v>0</x:v>
      </x:c>
      <x:c r="K32" s="10"/>
      <x:c r="L32" s="10" t="n">
        <x:v>285816</x:v>
      </x:c>
      <x:c r="M32" s="10"/>
      <x:c r="N32" s="11"/>
      <x:c r="O32" s="2" t="str">
        <x:v>执行失败</x:v>
      </x:c>
      <x:c r="P32" s="2" t="str">
        <x:v>solve</x:v>
      </x:c>
      <x:c r="Q32" s="2" t="str">
        <x:v>TypeError</x:v>
      </x:c>
      <x:c r="R32" s="2" t="str">
        <x:v>TP,NRM,RA,FLP,AP,Mixture,Others</x:v>
      </x:c>
      <x:c r="S32" s="13" t="n">
        <x:v>1</x:v>
      </x:c>
    </x:row>
    <x:row r="33" ht="23" customHeight="1">
      <x:c r="A33" s="12" t="n">
        <x:v>1</x:v>
      </x:c>
      <x:c r="B33" s="12" t="str">
        <x:v>OR-029</x:v>
      </x:c>
      <x:c r="C33" s="12" t="str">
        <x:v>NRM</x:v>
      </x:c>
      <x:c r="D33" s="12" t="str">
        <x:v>NRM</x:v>
      </x:c>
      <x:c r="E33" s="12" t="str">
        <x:v>NRM</x:v>
      </x:c>
      <x:c r="F33" s="12"/>
      <x:c r="G33" s="12" t="n">
        <x:v>1</x:v>
      </x:c>
      <x:c r="H33" s="12" t="n">
        <x:v>1</x:v>
      </x:c>
      <x:c r="I33" s="12" t="n">
        <x:v>1</x:v>
      </x:c>
      <x:c r="J33" s="12" t="n">
        <x:v>1</x:v>
      </x:c>
      <x:c r="K33" s="10" t="n">
        <x:v>5090631.58</x:v>
      </x:c>
      <x:c r="L33" s="10" t="n">
        <x:v>5090631.58</x:v>
      </x:c>
      <x:c r="M33" s="10" t="n">
        <x:v>0</x:v>
      </x:c>
      <x:c r="N33" s="11" t="n">
        <x:v>0</x:v>
      </x:c>
      <x:c r="O33" s="2" t="str">
        <x:v>目标匹配</x:v>
      </x:c>
      <x:c r="P33" s="2" t="str">
        <x:v>completed</x:v>
      </x:c>
      <x:c r="Q33" s="2"/>
      <x:c r="R33" s="2" t="str">
        <x:v>TP,NRM,RA,FLP,AP,Mixture,Others</x:v>
      </x:c>
      <x:c r="S33" s="13" t="n">
        <x:v>1</x:v>
      </x:c>
    </x:row>
    <x:row r="34" ht="23" customHeight="1">
      <x:c r="A34" s="12" t="n">
        <x:v>1</x:v>
      </x:c>
      <x:c r="B34" s="12" t="str">
        <x:v>OR-030</x:v>
      </x:c>
      <x:c r="C34" s="12" t="str">
        <x:v>NRM</x:v>
      </x:c>
      <x:c r="D34" s="12" t="str">
        <x:v>NRM</x:v>
      </x:c>
      <x:c r="E34" s="12" t="str">
        <x:v>NRM</x:v>
      </x:c>
      <x:c r="F34" s="12"/>
      <x:c r="G34" s="12" t="n">
        <x:v>1</x:v>
      </x:c>
      <x:c r="H34" s="12" t="n">
        <x:v>1</x:v>
      </x:c>
      <x:c r="I34" s="12" t="n">
        <x:v>1</x:v>
      </x:c>
      <x:c r="J34" s="12" t="n">
        <x:v>1</x:v>
      </x:c>
      <x:c r="K34" s="10" t="n">
        <x:v>34856.759999999995</x:v>
      </x:c>
      <x:c r="L34" s="10" t="n">
        <x:v>34856.76</x:v>
      </x:c>
      <x:c r="M34" s="10" t="n">
        <x:v>7.275957614183426e-12</x:v>
      </x:c>
      <x:c r="N34" s="11" t="n">
        <x:v>2.0873878163614247e-16</x:v>
      </x:c>
      <x:c r="O34" s="2" t="str">
        <x:v>目标匹配</x:v>
      </x:c>
      <x:c r="P34" s="2" t="str">
        <x:v>completed</x:v>
      </x:c>
      <x:c r="Q34" s="2"/>
      <x:c r="R34" s="2" t="str">
        <x:v>TP,NRM,RA,FLP,AP,Mixture,Others</x:v>
      </x:c>
      <x:c r="S34" s="13" t="n">
        <x:v>1</x:v>
      </x:c>
    </x:row>
    <x:row r="35" ht="23" customHeight="1">
      <x:c r="A35" s="12" t="n">
        <x:v>1</x:v>
      </x:c>
      <x:c r="B35" s="12" t="str">
        <x:v>OR-031</x:v>
      </x:c>
      <x:c r="C35" s="12" t="str">
        <x:v>NRM</x:v>
      </x:c>
      <x:c r="D35" s="12" t="str">
        <x:v>NRM</x:v>
      </x:c>
      <x:c r="E35" s="12" t="str">
        <x:v>NRM</x:v>
      </x:c>
      <x:c r="F35" s="12"/>
      <x:c r="G35" s="12" t="n">
        <x:v>1</x:v>
      </x:c>
      <x:c r="H35" s="12" t="n">
        <x:v>1</x:v>
      </x:c>
      <x:c r="I35" s="12" t="n">
        <x:v>1</x:v>
      </x:c>
      <x:c r="J35" s="12" t="n">
        <x:v>1</x:v>
      </x:c>
      <x:c r="K35" s="10" t="n">
        <x:v>67016511.28</x:v>
      </x:c>
      <x:c r="L35" s="10" t="n">
        <x:v>67016511.28</x:v>
      </x:c>
      <x:c r="M35" s="10" t="n">
        <x:v>0</x:v>
      </x:c>
      <x:c r="N35" s="11" t="n">
        <x:v>0</x:v>
      </x:c>
      <x:c r="O35" s="2" t="str">
        <x:v>目标匹配</x:v>
      </x:c>
      <x:c r="P35" s="2" t="str">
        <x:v>completed</x:v>
      </x:c>
      <x:c r="Q35" s="2"/>
      <x:c r="R35" s="2" t="str">
        <x:v>TP,NRM,RA,FLP,AP,Mixture,Others</x:v>
      </x:c>
      <x:c r="S35" s="13" t="n">
        <x:v>1</x:v>
      </x:c>
    </x:row>
    <x:row r="36" ht="23" customHeight="1">
      <x:c r="A36" s="12" t="n">
        <x:v>1</x:v>
      </x:c>
      <x:c r="B36" s="12" t="str">
        <x:v>OR-032</x:v>
      </x:c>
      <x:c r="C36" s="12" t="str">
        <x:v>NRM</x:v>
      </x:c>
      <x:c r="D36" s="12" t="str">
        <x:v>NRM</x:v>
      </x:c>
      <x:c r="E36" s="12" t="str">
        <x:v>NRM</x:v>
      </x:c>
      <x:c r="F36" s="12"/>
      <x:c r="G36" s="12" t="n">
        <x:v>1</x:v>
      </x:c>
      <x:c r="H36" s="12" t="n">
        <x:v>1</x:v>
      </x:c>
      <x:c r="I36" s="12" t="n">
        <x:v>0</x:v>
      </x:c>
      <x:c r="J36" s="12" t="n">
        <x:v>0</x:v>
      </x:c>
      <x:c r="K36" s="10"/>
      <x:c r="L36" s="10" t="n">
        <x:v>1240406.25</x:v>
      </x:c>
      <x:c r="M36" s="10"/>
      <x:c r="N36" s="11"/>
      <x:c r="O36" s="2" t="str">
        <x:v>执行失败</x:v>
      </x:c>
      <x:c r="P36" s="2" t="str">
        <x:v>solve</x:v>
      </x:c>
      <x:c r="Q36" s="2" t="str">
        <x:v>TypeError</x:v>
      </x:c>
      <x:c r="R36" s="2" t="str">
        <x:v>TP,NRM,RA,FLP,AP,Mixture,Others</x:v>
      </x:c>
      <x:c r="S36" s="13" t="n">
        <x:v>1</x:v>
      </x:c>
    </x:row>
    <x:row r="37" ht="23" customHeight="1">
      <x:c r="A37" s="12" t="n">
        <x:v>1</x:v>
      </x:c>
      <x:c r="B37" s="12" t="str">
        <x:v>OR-033</x:v>
      </x:c>
      <x:c r="C37" s="12" t="str">
        <x:v>NRM</x:v>
      </x:c>
      <x:c r="D37" s="12" t="str">
        <x:v>NRM</x:v>
      </x:c>
      <x:c r="E37" s="12" t="str">
        <x:v>NRM</x:v>
      </x:c>
      <x:c r="F37" s="12"/>
      <x:c r="G37" s="12" t="n">
        <x:v>1</x:v>
      </x:c>
      <x:c r="H37" s="12" t="n">
        <x:v>1</x:v>
      </x:c>
      <x:c r="I37" s="12" t="n">
        <x:v>1</x:v>
      </x:c>
      <x:c r="J37" s="12" t="n">
        <x:v>1</x:v>
      </x:c>
      <x:c r="K37" s="10" t="n">
        <x:v>195506188</x:v>
      </x:c>
      <x:c r="L37" s="10" t="n">
        <x:v>195506188</x:v>
      </x:c>
      <x:c r="M37" s="10" t="n">
        <x:v>0</x:v>
      </x:c>
      <x:c r="N37" s="11" t="n">
        <x:v>0</x:v>
      </x:c>
      <x:c r="O37" s="2" t="str">
        <x:v>目标匹配</x:v>
      </x:c>
      <x:c r="P37" s="2" t="str">
        <x:v>completed</x:v>
      </x:c>
      <x:c r="Q37" s="2"/>
      <x:c r="R37" s="2" t="str">
        <x:v>TP,NRM,RA,FLP,AP,Mixture,Others</x:v>
      </x:c>
      <x:c r="S37" s="13" t="n">
        <x:v>1</x:v>
      </x:c>
    </x:row>
    <x:row r="38" ht="23" customHeight="1">
      <x:c r="A38" s="12" t="n">
        <x:v>1</x:v>
      </x:c>
      <x:c r="B38" s="12" t="str">
        <x:v>OR-034</x:v>
      </x:c>
      <x:c r="C38" s="12" t="str">
        <x:v>NRM</x:v>
      </x:c>
      <x:c r="D38" s="12" t="str">
        <x:v>NRM</x:v>
      </x:c>
      <x:c r="E38" s="12" t="str">
        <x:v>NRM</x:v>
      </x:c>
      <x:c r="F38" s="12"/>
      <x:c r="G38" s="12" t="n">
        <x:v>1</x:v>
      </x:c>
      <x:c r="H38" s="12" t="n">
        <x:v>1</x:v>
      </x:c>
      <x:c r="I38" s="12" t="n">
        <x:v>1</x:v>
      </x:c>
      <x:c r="J38" s="12" t="n">
        <x:v>1</x:v>
      </x:c>
      <x:c r="K38" s="10" t="n">
        <x:v>914600.2500000002</x:v>
      </x:c>
      <x:c r="L38" s="10" t="n">
        <x:v>914600.25</x:v>
      </x:c>
      <x:c r="M38" s="10" t="n">
        <x:v>2.3283064365386963e-10</x:v>
      </x:c>
      <x:c r="N38" s="11" t="n">
        <x:v>2.545709381271978e-16</x:v>
      </x:c>
      <x:c r="O38" s="2" t="str">
        <x:v>目标匹配</x:v>
      </x:c>
      <x:c r="P38" s="2" t="str">
        <x:v>completed</x:v>
      </x:c>
      <x:c r="Q38" s="2"/>
      <x:c r="R38" s="2" t="str">
        <x:v>TP,NRM,RA,FLP,AP,Mixture,Others</x:v>
      </x:c>
      <x:c r="S38" s="13" t="n">
        <x:v>1</x:v>
      </x:c>
    </x:row>
    <x:row r="39" ht="23" customHeight="1">
      <x:c r="A39" s="12" t="n">
        <x:v>1</x:v>
      </x:c>
      <x:c r="B39" s="12" t="str">
        <x:v>OR-035</x:v>
      </x:c>
      <x:c r="C39" s="12" t="str">
        <x:v>RA</x:v>
      </x:c>
      <x:c r="D39" s="12" t="str">
        <x:v>RA</x:v>
      </x:c>
      <x:c r="E39" s="12" t="str">
        <x:v>RA</x:v>
      </x:c>
      <x:c r="F39" s="12"/>
      <x:c r="G39" s="12" t="n">
        <x:v>1</x:v>
      </x:c>
      <x:c r="H39" s="12" t="n">
        <x:v>1</x:v>
      </x:c>
      <x:c r="I39" s="12" t="n">
        <x:v>0</x:v>
      </x:c>
      <x:c r="J39" s="12" t="n">
        <x:v>0</x:v>
      </x:c>
      <x:c r="K39" s="10"/>
      <x:c r="L39" s="10" t="n">
        <x:v>150660</x:v>
      </x:c>
      <x:c r="M39" s="10"/>
      <x:c r="N39" s="11"/>
      <x:c r="O39" s="2" t="str">
        <x:v>执行失败</x:v>
      </x:c>
      <x:c r="P39" s="2" t="str">
        <x:v>solve</x:v>
      </x:c>
      <x:c r="Q39" s="2" t="str">
        <x:v>TypeError</x:v>
      </x:c>
      <x:c r="R39" s="2" t="str">
        <x:v>TP,NRM,RA,FLP,AP,Mixture,Others</x:v>
      </x:c>
      <x:c r="S39" s="13" t="n">
        <x:v>1</x:v>
      </x:c>
    </x:row>
    <x:row r="40" ht="23" customHeight="1">
      <x:c r="A40" s="12" t="n">
        <x:v>1</x:v>
      </x:c>
      <x:c r="B40" s="12" t="str">
        <x:v>OR-036</x:v>
      </x:c>
      <x:c r="C40" s="12" t="str">
        <x:v>RA</x:v>
      </x:c>
      <x:c r="D40" s="12" t="str">
        <x:v>RA</x:v>
      </x:c>
      <x:c r="E40" s="12" t="str">
        <x:v>RA</x:v>
      </x:c>
      <x:c r="F40" s="12"/>
      <x:c r="G40" s="12" t="n">
        <x:v>1</x:v>
      </x:c>
      <x:c r="H40" s="12" t="n">
        <x:v>1</x:v>
      </x:c>
      <x:c r="I40" s="12" t="n">
        <x:v>1</x:v>
      </x:c>
      <x:c r="J40" s="12" t="n">
        <x:v>1</x:v>
      </x:c>
      <x:c r="K40" s="10" t="n">
        <x:v>509925</x:v>
      </x:c>
      <x:c r="L40" s="10" t="n">
        <x:v>509925</x:v>
      </x:c>
      <x:c r="M40" s="10" t="n">
        <x:v>0</x:v>
      </x:c>
      <x:c r="N40" s="11" t="n">
        <x:v>0</x:v>
      </x:c>
      <x:c r="O40" s="2" t="str">
        <x:v>目标匹配</x:v>
      </x:c>
      <x:c r="P40" s="2" t="str">
        <x:v>completed</x:v>
      </x:c>
      <x:c r="Q40" s="2"/>
      <x:c r="R40" s="2" t="str">
        <x:v>TP,NRM,RA,FLP,AP,Mixture,Others</x:v>
      </x:c>
      <x:c r="S40" s="13" t="n">
        <x:v>1</x:v>
      </x:c>
    </x:row>
    <x:row r="41" ht="23" customHeight="1">
      <x:c r="A41" s="12" t="n">
        <x:v>1</x:v>
      </x:c>
      <x:c r="B41" s="12" t="str">
        <x:v>OR-037</x:v>
      </x:c>
      <x:c r="C41" s="12" t="str">
        <x:v>RA</x:v>
      </x:c>
      <x:c r="D41" s="12" t="str">
        <x:v>RA</x:v>
      </x:c>
      <x:c r="E41" s="12" t="str">
        <x:v>RA</x:v>
      </x:c>
      <x:c r="F41" s="12"/>
      <x:c r="G41" s="12" t="n">
        <x:v>1</x:v>
      </x:c>
      <x:c r="H41" s="12" t="n">
        <x:v>1</x:v>
      </x:c>
      <x:c r="I41" s="12" t="n">
        <x:v>1</x:v>
      </x:c>
      <x:c r="J41" s="12" t="n">
        <x:v>1</x:v>
      </x:c>
      <x:c r="K41" s="10" t="n">
        <x:v>722376</x:v>
      </x:c>
      <x:c r="L41" s="10" t="n">
        <x:v>722376</x:v>
      </x:c>
      <x:c r="M41" s="10" t="n">
        <x:v>0</x:v>
      </x:c>
      <x:c r="N41" s="11" t="n">
        <x:v>0</x:v>
      </x:c>
      <x:c r="O41" s="2" t="str">
        <x:v>目标匹配</x:v>
      </x:c>
      <x:c r="P41" s="2" t="str">
        <x:v>completed</x:v>
      </x:c>
      <x:c r="Q41" s="2"/>
      <x:c r="R41" s="2" t="str">
        <x:v>TP,NRM,RA,FLP,AP,Mixture,Others</x:v>
      </x:c>
      <x:c r="S41" s="13" t="n">
        <x:v>1</x:v>
      </x:c>
    </x:row>
    <x:row r="42" ht="23" customHeight="1">
      <x:c r="A42" s="12" t="n">
        <x:v>1</x:v>
      </x:c>
      <x:c r="B42" s="12" t="str">
        <x:v>OR-038</x:v>
      </x:c>
      <x:c r="C42" s="12" t="str">
        <x:v>RA</x:v>
      </x:c>
      <x:c r="D42" s="12" t="str">
        <x:v>RA</x:v>
      </x:c>
      <x:c r="E42" s="12" t="str">
        <x:v>RA</x:v>
      </x:c>
      <x:c r="F42" s="12"/>
      <x:c r="G42" s="12" t="n">
        <x:v>1</x:v>
      </x:c>
      <x:c r="H42" s="12" t="n">
        <x:v>1</x:v>
      </x:c>
      <x:c r="I42" s="12" t="n">
        <x:v>0</x:v>
      </x:c>
      <x:c r="J42" s="12" t="n">
        <x:v>0</x:v>
      </x:c>
      <x:c r="K42" s="10"/>
      <x:c r="L42" s="10" t="n">
        <x:v>1314500</x:v>
      </x:c>
      <x:c r="M42" s="10"/>
      <x:c r="N42" s="11"/>
      <x:c r="O42" s="2" t="str">
        <x:v>执行失败</x:v>
      </x:c>
      <x:c r="P42" s="2" t="str">
        <x:v>formulation</x:v>
      </x:c>
      <x:c r="Q42" s="2" t="str">
        <x:v>ModelOutputTruncated</x:v>
      </x:c>
      <x:c r="R42" s="2" t="str">
        <x:v>TP,NRM,RA,FLP,AP,Mixture,Others</x:v>
      </x:c>
      <x:c r="S42" s="13" t="n">
        <x:v>1</x:v>
      </x:c>
    </x:row>
    <x:row r="43" ht="23" customHeight="1">
      <x:c r="A43" s="12" t="n">
        <x:v>1</x:v>
      </x:c>
      <x:c r="B43" s="12" t="str">
        <x:v>OR-039</x:v>
      </x:c>
      <x:c r="C43" s="12" t="str">
        <x:v>RA</x:v>
      </x:c>
      <x:c r="D43" s="12" t="str">
        <x:v>RA</x:v>
      </x:c>
      <x:c r="E43" s="12" t="str">
        <x:v>RA</x:v>
      </x:c>
      <x:c r="F43" s="12"/>
      <x:c r="G43" s="12" t="n">
        <x:v>1</x:v>
      </x:c>
      <x:c r="H43" s="12" t="n">
        <x:v>1</x:v>
      </x:c>
      <x:c r="I43" s="12" t="n">
        <x:v>0</x:v>
      </x:c>
      <x:c r="J43" s="12" t="n">
        <x:v>0</x:v>
      </x:c>
      <x:c r="K43" s="10"/>
      <x:c r="L43" s="10" t="n">
        <x:v>429000</x:v>
      </x:c>
      <x:c r="M43" s="10"/>
      <x:c r="N43" s="11"/>
      <x:c r="O43" s="2" t="str">
        <x:v>执行失败</x:v>
      </x:c>
      <x:c r="P43" s="2" t="str">
        <x:v>solve</x:v>
      </x:c>
      <x:c r="Q43" s="2" t="str">
        <x:v>TypeError</x:v>
      </x:c>
      <x:c r="R43" s="2" t="str">
        <x:v>TP,NRM,RA,FLP,AP,Mixture,Others</x:v>
      </x:c>
      <x:c r="S43" s="13" t="n">
        <x:v>1</x:v>
      </x:c>
    </x:row>
    <x:row r="44" ht="23" customHeight="1">
      <x:c r="A44" s="12" t="n">
        <x:v>1</x:v>
      </x:c>
      <x:c r="B44" s="12" t="str">
        <x:v>OR-040</x:v>
      </x:c>
      <x:c r="C44" s="12" t="str">
        <x:v>RA</x:v>
      </x:c>
      <x:c r="D44" s="12" t="str">
        <x:v>RA</x:v>
      </x:c>
      <x:c r="E44" s="12" t="str">
        <x:v>RA</x:v>
      </x:c>
      <x:c r="F44" s="12"/>
      <x:c r="G44" s="12" t="n">
        <x:v>1</x:v>
      </x:c>
      <x:c r="H44" s="12" t="n">
        <x:v>1</x:v>
      </x:c>
      <x:c r="I44" s="12" t="n">
        <x:v>1</x:v>
      </x:c>
      <x:c r="J44" s="12" t="n">
        <x:v>1</x:v>
      </x:c>
      <x:c r="K44" s="10" t="n">
        <x:v>74260</x:v>
      </x:c>
      <x:c r="L44" s="10" t="n">
        <x:v>74260</x:v>
      </x:c>
      <x:c r="M44" s="10" t="n">
        <x:v>0</x:v>
      </x:c>
      <x:c r="N44" s="11" t="n">
        <x:v>0</x:v>
      </x:c>
      <x:c r="O44" s="2" t="str">
        <x:v>目标匹配</x:v>
      </x:c>
      <x:c r="P44" s="2" t="str">
        <x:v>completed</x:v>
      </x:c>
      <x:c r="Q44" s="2"/>
      <x:c r="R44" s="2" t="str">
        <x:v>TP,NRM,RA,FLP,AP,Mixture,Others</x:v>
      </x:c>
      <x:c r="S44" s="13" t="n">
        <x:v>1</x:v>
      </x:c>
    </x:row>
    <x:row r="45" ht="23" customHeight="1">
      <x:c r="A45" s="12" t="n">
        <x:v>1</x:v>
      </x:c>
      <x:c r="B45" s="12" t="str">
        <x:v>OR-041</x:v>
      </x:c>
      <x:c r="C45" s="12" t="str">
        <x:v>RA</x:v>
      </x:c>
      <x:c r="D45" s="12" t="str">
        <x:v>RA</x:v>
      </x:c>
      <x:c r="E45" s="12" t="str">
        <x:v>RA</x:v>
      </x:c>
      <x:c r="F45" s="12"/>
      <x:c r="G45" s="12" t="n">
        <x:v>1</x:v>
      </x:c>
      <x:c r="H45" s="12" t="n">
        <x:v>1</x:v>
      </x:c>
      <x:c r="I45" s="12" t="n">
        <x:v>1</x:v>
      </x:c>
      <x:c r="J45" s="12" t="n">
        <x:v>1</x:v>
      </x:c>
      <x:c r="K45" s="10" t="n">
        <x:v>3912</x:v>
      </x:c>
      <x:c r="L45" s="10" t="n">
        <x:v>3912</x:v>
      </x:c>
      <x:c r="M45" s="10" t="n">
        <x:v>0</x:v>
      </x:c>
      <x:c r="N45" s="11" t="n">
        <x:v>0</x:v>
      </x:c>
      <x:c r="O45" s="2" t="str">
        <x:v>目标匹配</x:v>
      </x:c>
      <x:c r="P45" s="2" t="str">
        <x:v>completed</x:v>
      </x:c>
      <x:c r="Q45" s="2"/>
      <x:c r="R45" s="2" t="str">
        <x:v>TP,NRM,RA,FLP,AP,Mixture,Others</x:v>
      </x:c>
      <x:c r="S45" s="13" t="n">
        <x:v>1</x:v>
      </x:c>
    </x:row>
    <x:row r="46" ht="23" customHeight="1">
      <x:c r="A46" s="12" t="n">
        <x:v>1</x:v>
      </x:c>
      <x:c r="B46" s="12" t="str">
        <x:v>OR-042</x:v>
      </x:c>
      <x:c r="C46" s="12" t="str">
        <x:v>RA</x:v>
      </x:c>
      <x:c r="D46" s="12" t="str">
        <x:v>RA</x:v>
      </x:c>
      <x:c r="E46" s="12" t="str">
        <x:v>RA</x:v>
      </x:c>
      <x:c r="F46" s="12"/>
      <x:c r="G46" s="12" t="n">
        <x:v>1</x:v>
      </x:c>
      <x:c r="H46" s="12" t="n">
        <x:v>1</x:v>
      </x:c>
      <x:c r="I46" s="12" t="n">
        <x:v>0</x:v>
      </x:c>
      <x:c r="J46" s="12" t="n">
        <x:v>0</x:v>
      </x:c>
      <x:c r="K46" s="10"/>
      <x:c r="L46" s="10" t="n">
        <x:v>81918</x:v>
      </x:c>
      <x:c r="M46" s="10"/>
      <x:c r="N46" s="11"/>
      <x:c r="O46" s="2" t="str">
        <x:v>执行失败</x:v>
      </x:c>
      <x:c r="P46" s="2" t="str">
        <x:v>solve</x:v>
      </x:c>
      <x:c r="Q46" s="2" t="str">
        <x:v>KeyError</x:v>
      </x:c>
      <x:c r="R46" s="2" t="str">
        <x:v>TP,NRM,RA,FLP,AP,Mixture,Others</x:v>
      </x:c>
      <x:c r="S46" s="13" t="n">
        <x:v>1</x:v>
      </x:c>
    </x:row>
    <x:row r="47" ht="23" customHeight="1">
      <x:c r="A47" s="12" t="n">
        <x:v>1</x:v>
      </x:c>
      <x:c r="B47" s="12" t="str">
        <x:v>OR-043</x:v>
      </x:c>
      <x:c r="C47" s="12" t="str">
        <x:v>RA</x:v>
      </x:c>
      <x:c r="D47" s="12" t="str">
        <x:v>RA</x:v>
      </x:c>
      <x:c r="E47" s="12" t="str">
        <x:v>RA</x:v>
      </x:c>
      <x:c r="F47" s="12"/>
      <x:c r="G47" s="12" t="n">
        <x:v>1</x:v>
      </x:c>
      <x:c r="H47" s="12" t="n">
        <x:v>1</x:v>
      </x:c>
      <x:c r="I47" s="12" t="n">
        <x:v>1</x:v>
      </x:c>
      <x:c r="J47" s="12" t="n">
        <x:v>1</x:v>
      </x:c>
      <x:c r="K47" s="10" t="n">
        <x:v>13570</x:v>
      </x:c>
      <x:c r="L47" s="10" t="n">
        <x:v>13570</x:v>
      </x:c>
      <x:c r="M47" s="10" t="n">
        <x:v>0</x:v>
      </x:c>
      <x:c r="N47" s="11" t="n">
        <x:v>0</x:v>
      </x:c>
      <x:c r="O47" s="2" t="str">
        <x:v>目标匹配</x:v>
      </x:c>
      <x:c r="P47" s="2" t="str">
        <x:v>completed</x:v>
      </x:c>
      <x:c r="Q47" s="2"/>
      <x:c r="R47" s="2" t="str">
        <x:v>TP,NRM,RA,FLP,AP,Mixture,Others</x:v>
      </x:c>
      <x:c r="S47" s="13" t="n">
        <x:v>1</x:v>
      </x:c>
    </x:row>
    <x:row r="48" ht="23" customHeight="1">
      <x:c r="A48" s="12" t="n">
        <x:v>1</x:v>
      </x:c>
      <x:c r="B48" s="12" t="str">
        <x:v>OR-044</x:v>
      </x:c>
      <x:c r="C48" s="12" t="str">
        <x:v>RA</x:v>
      </x:c>
      <x:c r="D48" s="12" t="str">
        <x:v>RA</x:v>
      </x:c>
      <x:c r="E48" s="12" t="str">
        <x:v>RA</x:v>
      </x:c>
      <x:c r="F48" s="12"/>
      <x:c r="G48" s="12" t="n">
        <x:v>1</x:v>
      </x:c>
      <x:c r="H48" s="12" t="n">
        <x:v>1</x:v>
      </x:c>
      <x:c r="I48" s="12" t="n">
        <x:v>0</x:v>
      </x:c>
      <x:c r="J48" s="12" t="n">
        <x:v>0</x:v>
      </x:c>
      <x:c r="K48" s="10"/>
      <x:c r="L48" s="10" t="n">
        <x:v>8000</x:v>
      </x:c>
      <x:c r="M48" s="10"/>
      <x:c r="N48" s="11"/>
      <x:c r="O48" s="2" t="str">
        <x:v>执行失败</x:v>
      </x:c>
      <x:c r="P48" s="2" t="str">
        <x:v>solve</x:v>
      </x:c>
      <x:c r="Q48" s="2" t="str">
        <x:v>TypeError</x:v>
      </x:c>
      <x:c r="R48" s="2" t="str">
        <x:v>TP,NRM,RA,FLP,AP,Mixture,Others</x:v>
      </x:c>
      <x:c r="S48" s="13" t="n">
        <x:v>1</x:v>
      </x:c>
    </x:row>
    <x:row r="49" ht="23" customHeight="1">
      <x:c r="A49" s="12" t="n">
        <x:v>1</x:v>
      </x:c>
      <x:c r="B49" s="12" t="str">
        <x:v>OR-045</x:v>
      </x:c>
      <x:c r="C49" s="12" t="str">
        <x:v>RA</x:v>
      </x:c>
      <x:c r="D49" s="12" t="str">
        <x:v>RA</x:v>
      </x:c>
      <x:c r="E49" s="12" t="str">
        <x:v>RA</x:v>
      </x:c>
      <x:c r="F49" s="12"/>
      <x:c r="G49" s="12" t="n">
        <x:v>1</x:v>
      </x:c>
      <x:c r="H49" s="12" t="n">
        <x:v>1</x:v>
      </x:c>
      <x:c r="I49" s="12" t="n">
        <x:v>1</x:v>
      </x:c>
      <x:c r="J49" s="12" t="n">
        <x:v>1</x:v>
      </x:c>
      <x:c r="K49" s="10" t="n">
        <x:v>885</x:v>
      </x:c>
      <x:c r="L49" s="10" t="n">
        <x:v>885</x:v>
      </x:c>
      <x:c r="M49" s="10" t="n">
        <x:v>0</x:v>
      </x:c>
      <x:c r="N49" s="11" t="n">
        <x:v>0</x:v>
      </x:c>
      <x:c r="O49" s="2" t="str">
        <x:v>目标匹配</x:v>
      </x:c>
      <x:c r="P49" s="2" t="str">
        <x:v>completed</x:v>
      </x:c>
      <x:c r="Q49" s="2"/>
      <x:c r="R49" s="2" t="str">
        <x:v>TP,NRM,RA,FLP,AP,Mixture,Others</x:v>
      </x:c>
      <x:c r="S49" s="13" t="n">
        <x:v>1</x:v>
      </x:c>
    </x:row>
    <x:row r="50" ht="23" customHeight="1">
      <x:c r="A50" s="12" t="n">
        <x:v>1</x:v>
      </x:c>
      <x:c r="B50" s="12" t="str">
        <x:v>OR-046</x:v>
      </x:c>
      <x:c r="C50" s="12" t="str">
        <x:v>RA</x:v>
      </x:c>
      <x:c r="D50" s="12" t="str">
        <x:v>RA</x:v>
      </x:c>
      <x:c r="E50" s="12" t="str">
        <x:v>RA</x:v>
      </x:c>
      <x:c r="F50" s="12"/>
      <x:c r="G50" s="12" t="n">
        <x:v>1</x:v>
      </x:c>
      <x:c r="H50" s="12" t="n">
        <x:v>1</x:v>
      </x:c>
      <x:c r="I50" s="12" t="n">
        <x:v>0</x:v>
      </x:c>
      <x:c r="J50" s="12" t="n">
        <x:v>0</x:v>
      </x:c>
      <x:c r="K50" s="10"/>
      <x:c r="L50" s="10" t="n">
        <x:v>212</x:v>
      </x:c>
      <x:c r="M50" s="10"/>
      <x:c r="N50" s="11"/>
      <x:c r="O50" s="2" t="str">
        <x:v>执行失败</x:v>
      </x:c>
      <x:c r="P50" s="2" t="str">
        <x:v>solve</x:v>
      </x:c>
      <x:c r="Q50" s="2" t="str">
        <x:v>TypeError</x:v>
      </x:c>
      <x:c r="R50" s="2" t="str">
        <x:v>TP,NRM,RA,FLP,AP,Mixture,Others</x:v>
      </x:c>
      <x:c r="S50" s="13" t="n">
        <x:v>1</x:v>
      </x:c>
    </x:row>
    <x:row r="51" ht="23" customHeight="1">
      <x:c r="A51" s="12" t="n">
        <x:v>1</x:v>
      </x:c>
      <x:c r="B51" s="12" t="str">
        <x:v>OR-047</x:v>
      </x:c>
      <x:c r="C51" s="12" t="str">
        <x:v>RA</x:v>
      </x:c>
      <x:c r="D51" s="12" t="str">
        <x:v>RA</x:v>
      </x:c>
      <x:c r="E51" s="12" t="str">
        <x:v>RA</x:v>
      </x:c>
      <x:c r="F51" s="12"/>
      <x:c r="G51" s="12" t="n">
        <x:v>1</x:v>
      </x:c>
      <x:c r="H51" s="12" t="n">
        <x:v>1</x:v>
      </x:c>
      <x:c r="I51" s="12" t="n">
        <x:v>0</x:v>
      </x:c>
      <x:c r="J51" s="12" t="n">
        <x:v>0</x:v>
      </x:c>
      <x:c r="K51" s="10"/>
      <x:c r="L51" s="10" t="n">
        <x:v>5433</x:v>
      </x:c>
      <x:c r="M51" s="10"/>
      <x:c r="N51" s="11"/>
      <x:c r="O51" s="2" t="str">
        <x:v>执行失败</x:v>
      </x:c>
      <x:c r="P51" s="2" t="str">
        <x:v>solve</x:v>
      </x:c>
      <x:c r="Q51" s="2" t="str">
        <x:v>TypeError</x:v>
      </x:c>
      <x:c r="R51" s="2" t="str">
        <x:v>TP,NRM,RA,FLP,AP,Mixture,Others</x:v>
      </x:c>
      <x:c r="S51" s="13" t="n">
        <x:v>1</x:v>
      </x:c>
    </x:row>
    <x:row r="52" ht="23" customHeight="1">
      <x:c r="A52" s="12" t="n">
        <x:v>1</x:v>
      </x:c>
      <x:c r="B52" s="12" t="str">
        <x:v>OR-048</x:v>
      </x:c>
      <x:c r="C52" s="12" t="str">
        <x:v>RA</x:v>
      </x:c>
      <x:c r="D52" s="12" t="str">
        <x:v>RA</x:v>
      </x:c>
      <x:c r="E52" s="12" t="str">
        <x:v>RA</x:v>
      </x:c>
      <x:c r="F52" s="12"/>
      <x:c r="G52" s="12" t="n">
        <x:v>1</x:v>
      </x:c>
      <x:c r="H52" s="12" t="n">
        <x:v>1</x:v>
      </x:c>
      <x:c r="I52" s="12" t="n">
        <x:v>1</x:v>
      </x:c>
      <x:c r="J52" s="12" t="n">
        <x:v>1</x:v>
      </x:c>
      <x:c r="K52" s="10" t="n">
        <x:v>635052</x:v>
      </x:c>
      <x:c r="L52" s="10" t="n">
        <x:v>635052</x:v>
      </x:c>
      <x:c r="M52" s="10" t="n">
        <x:v>0</x:v>
      </x:c>
      <x:c r="N52" s="11" t="n">
        <x:v>0</x:v>
      </x:c>
      <x:c r="O52" s="2" t="str">
        <x:v>目标匹配</x:v>
      </x:c>
      <x:c r="P52" s="2" t="str">
        <x:v>completed</x:v>
      </x:c>
      <x:c r="Q52" s="2"/>
      <x:c r="R52" s="2" t="str">
        <x:v>TP,NRM,RA,FLP,AP,Mixture,Others</x:v>
      </x:c>
      <x:c r="S52" s="13" t="n">
        <x:v>1</x:v>
      </x:c>
    </x:row>
    <x:row r="53" ht="23" customHeight="1">
      <x:c r="A53" s="12" t="n">
        <x:v>1</x:v>
      </x:c>
      <x:c r="B53" s="12" t="str">
        <x:v>OR-049</x:v>
      </x:c>
      <x:c r="C53" s="12" t="str">
        <x:v>RA</x:v>
      </x:c>
      <x:c r="D53" s="12" t="str">
        <x:v>RA</x:v>
      </x:c>
      <x:c r="E53" s="12" t="str">
        <x:v>RA</x:v>
      </x:c>
      <x:c r="F53" s="12"/>
      <x:c r="G53" s="12" t="n">
        <x:v>1</x:v>
      </x:c>
      <x:c r="H53" s="12" t="n">
        <x:v>1</x:v>
      </x:c>
      <x:c r="I53" s="12" t="n">
        <x:v>1</x:v>
      </x:c>
      <x:c r="J53" s="12" t="n">
        <x:v>1</x:v>
      </x:c>
      <x:c r="K53" s="10" t="n">
        <x:v>85500</x:v>
      </x:c>
      <x:c r="L53" s="10" t="n">
        <x:v>85500</x:v>
      </x:c>
      <x:c r="M53" s="10" t="n">
        <x:v>0</x:v>
      </x:c>
      <x:c r="N53" s="11" t="n">
        <x:v>0</x:v>
      </x:c>
      <x:c r="O53" s="2" t="str">
        <x:v>目标匹配</x:v>
      </x:c>
      <x:c r="P53" s="2" t="str">
        <x:v>completed</x:v>
      </x:c>
      <x:c r="Q53" s="2"/>
      <x:c r="R53" s="2" t="str">
        <x:v>TP,NRM,RA,FLP,AP,Mixture,Others</x:v>
      </x:c>
      <x:c r="S53" s="13" t="n">
        <x:v>1</x:v>
      </x:c>
    </x:row>
    <x:row r="54" ht="23" customHeight="1">
      <x:c r="A54" s="12" t="n">
        <x:v>1</x:v>
      </x:c>
      <x:c r="B54" s="12" t="str">
        <x:v>OR-050</x:v>
      </x:c>
      <x:c r="C54" s="12" t="str">
        <x:v>Mixture</x:v>
      </x:c>
      <x:c r="D54" s="12" t="str">
        <x:v>RA</x:v>
      </x:c>
      <x:c r="E54" s="12" t="str">
        <x:v>RA</x:v>
      </x:c>
      <x:c r="F54" s="12"/>
      <x:c r="G54" s="12" t="n">
        <x:v>1</x:v>
      </x:c>
      <x:c r="H54" s="12" t="n">
        <x:v>0</x:v>
      </x:c>
      <x:c r="I54" s="12" t="n">
        <x:v>0</x:v>
      </x:c>
      <x:c r="J54" s="12" t="n">
        <x:v>0</x:v>
      </x:c>
      <x:c r="K54" s="10"/>
      <x:c r="L54" s="10" t="n">
        <x:v>80250</x:v>
      </x:c>
      <x:c r="M54" s="10"/>
      <x:c r="N54" s="11"/>
      <x:c r="O54" s="2" t="str">
        <x:v>执行失败</x:v>
      </x:c>
      <x:c r="P54" s="2" t="str">
        <x:v>code_generation</x:v>
      </x:c>
      <x:c r="Q54" s="2" t="str">
        <x:v>ValueError</x:v>
      </x:c>
      <x:c r="R54" s="2" t="str">
        <x:v>TP,NRM,RA,FLP,AP,Mixture,Others</x:v>
      </x:c>
      <x:c r="S54" s="13" t="n">
        <x:v>0</x:v>
      </x:c>
    </x:row>
    <x:row r="55" ht="23" customHeight="1">
      <x:c r="A55" s="12" t="n">
        <x:v>1</x:v>
      </x:c>
      <x:c r="B55" s="12" t="str">
        <x:v>OR-051</x:v>
      </x:c>
      <x:c r="C55" s="12" t="str">
        <x:v>RA</x:v>
      </x:c>
      <x:c r="D55" s="12" t="str">
        <x:v>RA</x:v>
      </x:c>
      <x:c r="E55" s="12" t="str">
        <x:v>RA</x:v>
      </x:c>
      <x:c r="F55" s="12"/>
      <x:c r="G55" s="12" t="n">
        <x:v>1</x:v>
      </x:c>
      <x:c r="H55" s="12" t="n">
        <x:v>1</x:v>
      </x:c>
      <x:c r="I55" s="12" t="n">
        <x:v>0</x:v>
      </x:c>
      <x:c r="J55" s="12" t="n">
        <x:v>0</x:v>
      </x:c>
      <x:c r="K55" s="10"/>
      <x:c r="L55" s="10" t="n">
        <x:v>594900</x:v>
      </x:c>
      <x:c r="M55" s="10"/>
      <x:c r="N55" s="11"/>
      <x:c r="O55" s="2" t="str">
        <x:v>执行失败</x:v>
      </x:c>
      <x:c r="P55" s="2" t="str">
        <x:v>solve</x:v>
      </x:c>
      <x:c r="Q55" s="2" t="str">
        <x:v>TypeError</x:v>
      </x:c>
      <x:c r="R55" s="2" t="str">
        <x:v>TP,NRM,RA,FLP,AP,Mixture,Others</x:v>
      </x:c>
      <x:c r="S55" s="13" t="n">
        <x:v>1</x:v>
      </x:c>
    </x:row>
    <x:row r="56" ht="23" customHeight="1">
      <x:c r="A56" s="12" t="n">
        <x:v>1</x:v>
      </x:c>
      <x:c r="B56" s="12" t="str">
        <x:v>OR-052</x:v>
      </x:c>
      <x:c r="C56" s="12" t="str">
        <x:v>RA</x:v>
      </x:c>
      <x:c r="D56" s="12" t="str">
        <x:v>RA</x:v>
      </x:c>
      <x:c r="E56" s="12" t="str">
        <x:v>RA</x:v>
      </x:c>
      <x:c r="F56" s="12"/>
      <x:c r="G56" s="12" t="n">
        <x:v>1</x:v>
      </x:c>
      <x:c r="H56" s="12" t="n">
        <x:v>1</x:v>
      </x:c>
      <x:c r="I56" s="12" t="n">
        <x:v>1</x:v>
      </x:c>
      <x:c r="J56" s="12" t="n">
        <x:v>1</x:v>
      </x:c>
      <x:c r="K56" s="10" t="n">
        <x:v>30240</x:v>
      </x:c>
      <x:c r="L56" s="10" t="n">
        <x:v>30240</x:v>
      </x:c>
      <x:c r="M56" s="10" t="n">
        <x:v>0</x:v>
      </x:c>
      <x:c r="N56" s="11" t="n">
        <x:v>0</x:v>
      </x:c>
      <x:c r="O56" s="2" t="str">
        <x:v>目标匹配</x:v>
      </x:c>
      <x:c r="P56" s="2" t="str">
        <x:v>completed</x:v>
      </x:c>
      <x:c r="Q56" s="2"/>
      <x:c r="R56" s="2" t="str">
        <x:v>TP,NRM,RA,FLP,AP,Mixture,Others</x:v>
      </x:c>
      <x:c r="S56" s="13" t="n">
        <x:v>1</x:v>
      </x:c>
    </x:row>
    <x:row r="57" ht="23" customHeight="1">
      <x:c r="A57" s="12" t="n">
        <x:v>1</x:v>
      </x:c>
      <x:c r="B57" s="12" t="str">
        <x:v>OR-053</x:v>
      </x:c>
      <x:c r="C57" s="12" t="str">
        <x:v>RA</x:v>
      </x:c>
      <x:c r="D57" s="12" t="str">
        <x:v>RA</x:v>
      </x:c>
      <x:c r="E57" s="12" t="str">
        <x:v>RA</x:v>
      </x:c>
      <x:c r="F57" s="12"/>
      <x:c r="G57" s="12" t="n">
        <x:v>1</x:v>
      </x:c>
      <x:c r="H57" s="12" t="n">
        <x:v>1</x:v>
      </x:c>
      <x:c r="I57" s="12" t="n">
        <x:v>0</x:v>
      </x:c>
      <x:c r="J57" s="12" t="n">
        <x:v>0</x:v>
      </x:c>
      <x:c r="K57" s="10"/>
      <x:c r="L57" s="10" t="n">
        <x:v>41040</x:v>
      </x:c>
      <x:c r="M57" s="10"/>
      <x:c r="N57" s="11"/>
      <x:c r="O57" s="2" t="str">
        <x:v>执行失败</x:v>
      </x:c>
      <x:c r="P57" s="2" t="str">
        <x:v>solve</x:v>
      </x:c>
      <x:c r="Q57" s="2" t="str">
        <x:v>TypeError</x:v>
      </x:c>
      <x:c r="R57" s="2" t="str">
        <x:v>TP,NRM,RA,FLP,AP,Mixture,Others</x:v>
      </x:c>
      <x:c r="S57" s="13" t="n">
        <x:v>1</x:v>
      </x:c>
    </x:row>
    <x:row r="58" ht="23" customHeight="1">
      <x:c r="A58" s="12" t="n">
        <x:v>1</x:v>
      </x:c>
      <x:c r="B58" s="12" t="str">
        <x:v>OR-054</x:v>
      </x:c>
      <x:c r="C58" s="12" t="str">
        <x:v>RA</x:v>
      </x:c>
      <x:c r="D58" s="12" t="str">
        <x:v>RA</x:v>
      </x:c>
      <x:c r="E58" s="12" t="str">
        <x:v>RA</x:v>
      </x:c>
      <x:c r="F58" s="12"/>
      <x:c r="G58" s="12" t="n">
        <x:v>1</x:v>
      </x:c>
      <x:c r="H58" s="12" t="n">
        <x:v>1</x:v>
      </x:c>
      <x:c r="I58" s="12" t="n">
        <x:v>0</x:v>
      </x:c>
      <x:c r="J58" s="12" t="n">
        <x:v>0</x:v>
      </x:c>
      <x:c r="K58" s="10"/>
      <x:c r="L58" s="10" t="n">
        <x:v>98670</x:v>
      </x:c>
      <x:c r="M58" s="10"/>
      <x:c r="N58" s="11"/>
      <x:c r="O58" s="2" t="str">
        <x:v>执行失败</x:v>
      </x:c>
      <x:c r="P58" s="2" t="str">
        <x:v>solve</x:v>
      </x:c>
      <x:c r="Q58" s="2" t="str">
        <x:v>TypeError</x:v>
      </x:c>
      <x:c r="R58" s="2" t="str">
        <x:v>TP,NRM,RA,FLP,AP,Mixture,Others</x:v>
      </x:c>
      <x:c r="S58" s="13" t="n">
        <x:v>1</x:v>
      </x:c>
    </x:row>
    <x:row r="59" ht="23" customHeight="1">
      <x:c r="A59" s="12" t="n">
        <x:v>1</x:v>
      </x:c>
      <x:c r="B59" s="12" t="str">
        <x:v>OR-055</x:v>
      </x:c>
      <x:c r="C59" s="12" t="str">
        <x:v>RA</x:v>
      </x:c>
      <x:c r="D59" s="12" t="str">
        <x:v>RA</x:v>
      </x:c>
      <x:c r="E59" s="12" t="str">
        <x:v>RA</x:v>
      </x:c>
      <x:c r="F59" s="12"/>
      <x:c r="G59" s="12" t="n">
        <x:v>1</x:v>
      </x:c>
      <x:c r="H59" s="12" t="n">
        <x:v>1</x:v>
      </x:c>
      <x:c r="I59" s="12" t="n">
        <x:v>1</x:v>
      </x:c>
      <x:c r="J59" s="12" t="n">
        <x:v>1</x:v>
      </x:c>
      <x:c r="K59" s="10" t="n">
        <x:v>27088640</x:v>
      </x:c>
      <x:c r="L59" s="10" t="n">
        <x:v>27088640</x:v>
      </x:c>
      <x:c r="M59" s="10" t="n">
        <x:v>0</x:v>
      </x:c>
      <x:c r="N59" s="11" t="n">
        <x:v>0</x:v>
      </x:c>
      <x:c r="O59" s="2" t="str">
        <x:v>目标匹配</x:v>
      </x:c>
      <x:c r="P59" s="2" t="str">
        <x:v>completed</x:v>
      </x:c>
      <x:c r="Q59" s="2"/>
      <x:c r="R59" s="2" t="str">
        <x:v>TP,NRM,RA,FLP,AP,Mixture,Others</x:v>
      </x:c>
      <x:c r="S59" s="13" t="n">
        <x:v>1</x:v>
      </x:c>
    </x:row>
    <x:row r="60" ht="23" customHeight="1">
      <x:c r="A60" s="12" t="n">
        <x:v>1</x:v>
      </x:c>
      <x:c r="B60" s="12" t="str">
        <x:v>OR-056</x:v>
      </x:c>
      <x:c r="C60" s="12" t="str">
        <x:v>RA</x:v>
      </x:c>
      <x:c r="D60" s="12" t="str">
        <x:v>RA</x:v>
      </x:c>
      <x:c r="E60" s="12" t="str">
        <x:v>RA</x:v>
      </x:c>
      <x:c r="F60" s="12"/>
      <x:c r="G60" s="12" t="n">
        <x:v>1</x:v>
      </x:c>
      <x:c r="H60" s="12" t="n">
        <x:v>1</x:v>
      </x:c>
      <x:c r="I60" s="12" t="n">
        <x:v>1</x:v>
      </x:c>
      <x:c r="J60" s="12" t="n">
        <x:v>1</x:v>
      </x:c>
      <x:c r="K60" s="10" t="n">
        <x:v>55642671</x:v>
      </x:c>
      <x:c r="L60" s="10" t="n">
        <x:v>55642671</x:v>
      </x:c>
      <x:c r="M60" s="10" t="n">
        <x:v>0</x:v>
      </x:c>
      <x:c r="N60" s="11" t="n">
        <x:v>0</x:v>
      </x:c>
      <x:c r="O60" s="2" t="str">
        <x:v>目标匹配</x:v>
      </x:c>
      <x:c r="P60" s="2" t="str">
        <x:v>completed</x:v>
      </x:c>
      <x:c r="Q60" s="2"/>
      <x:c r="R60" s="2" t="str">
        <x:v>TP,NRM,RA,FLP,AP,Mixture,Others</x:v>
      </x:c>
      <x:c r="S60" s="13" t="n">
        <x:v>1</x:v>
      </x:c>
    </x:row>
    <x:row r="61" ht="23" customHeight="1">
      <x:c r="A61" s="12" t="n">
        <x:v>1</x:v>
      </x:c>
      <x:c r="B61" s="12" t="str">
        <x:v>OR-057</x:v>
      </x:c>
      <x:c r="C61" s="12" t="str">
        <x:v>RA</x:v>
      </x:c>
      <x:c r="D61" s="12" t="str">
        <x:v>RA</x:v>
      </x:c>
      <x:c r="E61" s="12" t="str">
        <x:v>RA</x:v>
      </x:c>
      <x:c r="F61" s="12"/>
      <x:c r="G61" s="12" t="n">
        <x:v>1</x:v>
      </x:c>
      <x:c r="H61" s="12" t="n">
        <x:v>1</x:v>
      </x:c>
      <x:c r="I61" s="12" t="n">
        <x:v>0</x:v>
      </x:c>
      <x:c r="J61" s="12" t="n">
        <x:v>0</x:v>
      </x:c>
      <x:c r="K61" s="10"/>
      <x:c r="L61" s="10" t="n">
        <x:v>12502</x:v>
      </x:c>
      <x:c r="M61" s="10"/>
      <x:c r="N61" s="11"/>
      <x:c r="O61" s="2" t="str">
        <x:v>执行失败</x:v>
      </x:c>
      <x:c r="P61" s="2" t="str">
        <x:v>solve</x:v>
      </x:c>
      <x:c r="Q61" s="2" t="str">
        <x:v>TypeError</x:v>
      </x:c>
      <x:c r="R61" s="2" t="str">
        <x:v>TP,NRM,RA,FLP,AP,Mixture,Others</x:v>
      </x:c>
      <x:c r="S61" s="13" t="n">
        <x:v>1</x:v>
      </x:c>
    </x:row>
    <x:row r="62" ht="23" customHeight="1">
      <x:c r="A62" s="12" t="n">
        <x:v>1</x:v>
      </x:c>
      <x:c r="B62" s="12" t="str">
        <x:v>OR-058</x:v>
      </x:c>
      <x:c r="C62" s="12" t="str">
        <x:v>FLP</x:v>
      </x:c>
      <x:c r="D62" s="12" t="str">
        <x:v>FLP</x:v>
      </x:c>
      <x:c r="E62" s="12" t="str">
        <x:v>FLP</x:v>
      </x:c>
      <x:c r="F62" s="12"/>
      <x:c r="G62" s="12" t="n">
        <x:v>1</x:v>
      </x:c>
      <x:c r="H62" s="12" t="n">
        <x:v>1</x:v>
      </x:c>
      <x:c r="I62" s="12" t="n">
        <x:v>1</x:v>
      </x:c>
      <x:c r="J62" s="12" t="n">
        <x:v>1</x:v>
      </x:c>
      <x:c r="K62" s="10" t="n">
        <x:v>35950.65</x:v>
      </x:c>
      <x:c r="L62" s="10" t="n">
        <x:v>35950.65</x:v>
      </x:c>
      <x:c r="M62" s="10" t="n">
        <x:v>0</x:v>
      </x:c>
      <x:c r="N62" s="11" t="n">
        <x:v>0</x:v>
      </x:c>
      <x:c r="O62" s="2" t="str">
        <x:v>目标匹配</x:v>
      </x:c>
      <x:c r="P62" s="2" t="str">
        <x:v>completed</x:v>
      </x:c>
      <x:c r="Q62" s="2"/>
      <x:c r="R62" s="2" t="str">
        <x:v>TP,NRM,RA,FLP,AP,Mixture,Others</x:v>
      </x:c>
      <x:c r="S62" s="13" t="n">
        <x:v>1</x:v>
      </x:c>
    </x:row>
    <x:row r="63" ht="23" customHeight="1">
      <x:c r="A63" s="12" t="n">
        <x:v>1</x:v>
      </x:c>
      <x:c r="B63" s="12" t="str">
        <x:v>OR-059</x:v>
      </x:c>
      <x:c r="C63" s="12" t="str">
        <x:v>FLP</x:v>
      </x:c>
      <x:c r="D63" s="12" t="str">
        <x:v>FLP</x:v>
      </x:c>
      <x:c r="E63" s="12" t="str">
        <x:v>FLP</x:v>
      </x:c>
      <x:c r="F63" s="12"/>
      <x:c r="G63" s="12" t="n">
        <x:v>1</x:v>
      </x:c>
      <x:c r="H63" s="12" t="n">
        <x:v>1</x:v>
      </x:c>
      <x:c r="I63" s="12" t="n">
        <x:v>1</x:v>
      </x:c>
      <x:c r="J63" s="12" t="n">
        <x:v>1</x:v>
      </x:c>
      <x:c r="K63" s="10" t="n">
        <x:v>1862205008776.5698</x:v>
      </x:c>
      <x:c r="L63" s="10" t="n">
        <x:v>1862205008487.07</x:v>
      </x:c>
      <x:c r="M63" s="10" t="n">
        <x:v>289.499755859375</x:v>
      </x:c>
      <x:c r="N63" s="11" t="n">
        <x:v>1.5546073313086845e-10</x:v>
      </x:c>
      <x:c r="O63" s="2" t="str">
        <x:v>目标匹配</x:v>
      </x:c>
      <x:c r="P63" s="2" t="str">
        <x:v>completed</x:v>
      </x:c>
      <x:c r="Q63" s="2"/>
      <x:c r="R63" s="2" t="str">
        <x:v>TP,NRM,RA,FLP,AP,Mixture,Others</x:v>
      </x:c>
      <x:c r="S63" s="13" t="n">
        <x:v>1</x:v>
      </x:c>
    </x:row>
    <x:row r="64" ht="23" customHeight="1">
      <x:c r="A64" s="12" t="n">
        <x:v>1</x:v>
      </x:c>
      <x:c r="B64" s="12" t="str">
        <x:v>OR-060</x:v>
      </x:c>
      <x:c r="C64" s="12" t="str">
        <x:v>FLP</x:v>
      </x:c>
      <x:c r="D64" s="12" t="str">
        <x:v>FLP</x:v>
      </x:c>
      <x:c r="E64" s="12" t="str">
        <x:v>FLP</x:v>
      </x:c>
      <x:c r="F64" s="12"/>
      <x:c r="G64" s="12" t="n">
        <x:v>1</x:v>
      </x:c>
      <x:c r="H64" s="12" t="n">
        <x:v>1</x:v>
      </x:c>
      <x:c r="I64" s="12" t="n">
        <x:v>1</x:v>
      </x:c>
      <x:c r="J64" s="12" t="n">
        <x:v>1</x:v>
      </x:c>
      <x:c r="K64" s="10" t="n">
        <x:v>8643.199999999997</x:v>
      </x:c>
      <x:c r="L64" s="10" t="n">
        <x:v>8643.2</x:v>
      </x:c>
      <x:c r="M64" s="10" t="n">
        <x:v>3.637978807091713e-12</x:v>
      </x:c>
      <x:c r="N64" s="11" t="n">
        <x:v>4.2090647064648656e-16</x:v>
      </x:c>
      <x:c r="O64" s="2" t="str">
        <x:v>目标匹配</x:v>
      </x:c>
      <x:c r="P64" s="2" t="str">
        <x:v>completed</x:v>
      </x:c>
      <x:c r="Q64" s="2"/>
      <x:c r="R64" s="2" t="str">
        <x:v>TP,NRM,RA,FLP,AP,Mixture,Others</x:v>
      </x:c>
      <x:c r="S64" s="13" t="n">
        <x:v>1</x:v>
      </x:c>
    </x:row>
    <x:row r="65" ht="23" customHeight="1">
      <x:c r="A65" s="12" t="n">
        <x:v>1</x:v>
      </x:c>
      <x:c r="B65" s="12" t="str">
        <x:v>OR-061</x:v>
      </x:c>
      <x:c r="C65" s="12" t="str">
        <x:v>FLP</x:v>
      </x:c>
      <x:c r="D65" s="12" t="str">
        <x:v>FLP</x:v>
      </x:c>
      <x:c r="E65" s="12" t="str">
        <x:v>FLP</x:v>
      </x:c>
      <x:c r="F65" s="12"/>
      <x:c r="G65" s="12" t="n">
        <x:v>1</x:v>
      </x:c>
      <x:c r="H65" s="12" t="n">
        <x:v>1</x:v>
      </x:c>
      <x:c r="I65" s="12" t="n">
        <x:v>1</x:v>
      </x:c>
      <x:c r="J65" s="12" t="n">
        <x:v>1</x:v>
      </x:c>
      <x:c r="K65" s="10" t="n">
        <x:v>10199.96</x:v>
      </x:c>
      <x:c r="L65" s="10" t="n">
        <x:v>10199.96</x:v>
      </x:c>
      <x:c r="M65" s="10" t="n">
        <x:v>0</x:v>
      </x:c>
      <x:c r="N65" s="11" t="n">
        <x:v>0</x:v>
      </x:c>
      <x:c r="O65" s="2" t="str">
        <x:v>目标匹配</x:v>
      </x:c>
      <x:c r="P65" s="2" t="str">
        <x:v>completed</x:v>
      </x:c>
      <x:c r="Q65" s="2"/>
      <x:c r="R65" s="2" t="str">
        <x:v>TP,NRM,RA,FLP,AP,Mixture,Others</x:v>
      </x:c>
      <x:c r="S65" s="13" t="n">
        <x:v>1</x:v>
      </x:c>
    </x:row>
    <x:row r="66" ht="23" customHeight="1">
      <x:c r="A66" s="12" t="n">
        <x:v>1</x:v>
      </x:c>
      <x:c r="B66" s="12" t="str">
        <x:v>OR-062</x:v>
      </x:c>
      <x:c r="C66" s="12" t="str">
        <x:v>FLP</x:v>
      </x:c>
      <x:c r="D66" s="12" t="str">
        <x:v>FLP</x:v>
      </x:c>
      <x:c r="E66" s="12" t="str">
        <x:v>FLP</x:v>
      </x:c>
      <x:c r="F66" s="12"/>
      <x:c r="G66" s="12" t="n">
        <x:v>1</x:v>
      </x:c>
      <x:c r="H66" s="12" t="n">
        <x:v>1</x:v>
      </x:c>
      <x:c r="I66" s="12" t="n">
        <x:v>1</x:v>
      </x:c>
      <x:c r="J66" s="12" t="n">
        <x:v>1</x:v>
      </x:c>
      <x:c r="K66" s="10" t="n">
        <x:v>172612.46</x:v>
      </x:c>
      <x:c r="L66" s="10" t="n">
        <x:v>172612.46</x:v>
      </x:c>
      <x:c r="M66" s="10" t="n">
        <x:v>0</x:v>
      </x:c>
      <x:c r="N66" s="11" t="n">
        <x:v>0</x:v>
      </x:c>
      <x:c r="O66" s="2" t="str">
        <x:v>目标匹配</x:v>
      </x:c>
      <x:c r="P66" s="2" t="str">
        <x:v>completed</x:v>
      </x:c>
      <x:c r="Q66" s="2"/>
      <x:c r="R66" s="2" t="str">
        <x:v>TP,NRM,RA,FLP,AP,Mixture,Others</x:v>
      </x:c>
      <x:c r="S66" s="13" t="n">
        <x:v>1</x:v>
      </x:c>
    </x:row>
    <x:row r="67" ht="23" customHeight="1">
      <x:c r="A67" s="12" t="n">
        <x:v>1</x:v>
      </x:c>
      <x:c r="B67" s="12" t="str">
        <x:v>OR-063</x:v>
      </x:c>
      <x:c r="C67" s="12" t="str">
        <x:v>FLP</x:v>
      </x:c>
      <x:c r="D67" s="12" t="str">
        <x:v>FLP</x:v>
      </x:c>
      <x:c r="E67" s="12" t="str">
        <x:v>FLP</x:v>
      </x:c>
      <x:c r="F67" s="12"/>
      <x:c r="G67" s="12" t="n">
        <x:v>1</x:v>
      </x:c>
      <x:c r="H67" s="12" t="n">
        <x:v>1</x:v>
      </x:c>
      <x:c r="I67" s="12" t="n">
        <x:v>1</x:v>
      </x:c>
      <x:c r="J67" s="12" t="n">
        <x:v>1</x:v>
      </x:c>
      <x:c r="K67" s="10" t="n">
        <x:v>778095.4400000001</x:v>
      </x:c>
      <x:c r="L67" s="10" t="n">
        <x:v>778095.44</x:v>
      </x:c>
      <x:c r="M67" s="10" t="n">
        <x:v>1.1641532182693481e-10</x:v>
      </x:c>
      <x:c r="N67" s="11" t="n">
        <x:v>1.4961573586260166e-16</x:v>
      </x:c>
      <x:c r="O67" s="2" t="str">
        <x:v>目标匹配</x:v>
      </x:c>
      <x:c r="P67" s="2" t="str">
        <x:v>completed</x:v>
      </x:c>
      <x:c r="Q67" s="2"/>
      <x:c r="R67" s="2" t="str">
        <x:v>TP,NRM,RA,FLP,AP,Mixture,Others</x:v>
      </x:c>
      <x:c r="S67" s="13" t="n">
        <x:v>1</x:v>
      </x:c>
    </x:row>
    <x:row r="68" ht="23" customHeight="1">
      <x:c r="A68" s="12" t="n">
        <x:v>1</x:v>
      </x:c>
      <x:c r="B68" s="12" t="str">
        <x:v>OR-064</x:v>
      </x:c>
      <x:c r="C68" s="12" t="str">
        <x:v>FLP</x:v>
      </x:c>
      <x:c r="D68" s="12" t="str">
        <x:v>FLP</x:v>
      </x:c>
      <x:c r="E68" s="12" t="str">
        <x:v>FLP</x:v>
      </x:c>
      <x:c r="F68" s="12"/>
      <x:c r="G68" s="12" t="n">
        <x:v>1</x:v>
      </x:c>
      <x:c r="H68" s="12" t="n">
        <x:v>1</x:v>
      </x:c>
      <x:c r="I68" s="12" t="n">
        <x:v>1</x:v>
      </x:c>
      <x:c r="J68" s="12" t="n">
        <x:v>1</x:v>
      </x:c>
      <x:c r="K68" s="10" t="n">
        <x:v>18461.11</x:v>
      </x:c>
      <x:c r="L68" s="10" t="n">
        <x:v>18461.11</x:v>
      </x:c>
      <x:c r="M68" s="10" t="n">
        <x:v>0</x:v>
      </x:c>
      <x:c r="N68" s="11" t="n">
        <x:v>0</x:v>
      </x:c>
      <x:c r="O68" s="2" t="str">
        <x:v>目标匹配</x:v>
      </x:c>
      <x:c r="P68" s="2" t="str">
        <x:v>completed</x:v>
      </x:c>
      <x:c r="Q68" s="2"/>
      <x:c r="R68" s="2" t="str">
        <x:v>TP,NRM,RA,FLP,AP,Mixture,Others</x:v>
      </x:c>
      <x:c r="S68" s="13" t="n">
        <x:v>1</x:v>
      </x:c>
    </x:row>
    <x:row r="69" ht="23" customHeight="1">
      <x:c r="A69" s="12" t="n">
        <x:v>1</x:v>
      </x:c>
      <x:c r="B69" s="12" t="str">
        <x:v>OR-065</x:v>
      </x:c>
      <x:c r="C69" s="12" t="str">
        <x:v>FLP</x:v>
      </x:c>
      <x:c r="D69" s="12" t="str">
        <x:v>FLP</x:v>
      </x:c>
      <x:c r="E69" s="12" t="str">
        <x:v>FLP</x:v>
      </x:c>
      <x:c r="F69" s="12"/>
      <x:c r="G69" s="12" t="n">
        <x:v>1</x:v>
      </x:c>
      <x:c r="H69" s="12" t="n">
        <x:v>1</x:v>
      </x:c>
      <x:c r="I69" s="12" t="n">
        <x:v>1</x:v>
      </x:c>
      <x:c r="J69" s="12" t="n">
        <x:v>1</x:v>
      </x:c>
      <x:c r="K69" s="10" t="n">
        <x:v>317318.5</x:v>
      </x:c>
      <x:c r="L69" s="10" t="n">
        <x:v>317318.5</x:v>
      </x:c>
      <x:c r="M69" s="10" t="n">
        <x:v>0</x:v>
      </x:c>
      <x:c r="N69" s="11" t="n">
        <x:v>0</x:v>
      </x:c>
      <x:c r="O69" s="2" t="str">
        <x:v>目标匹配</x:v>
      </x:c>
      <x:c r="P69" s="2" t="str">
        <x:v>completed</x:v>
      </x:c>
      <x:c r="Q69" s="2"/>
      <x:c r="R69" s="2" t="str">
        <x:v>TP,NRM,RA,FLP,AP,Mixture,Others</x:v>
      </x:c>
      <x:c r="S69" s="13" t="n">
        <x:v>1</x:v>
      </x:c>
    </x:row>
    <x:row r="70" ht="23" customHeight="1">
      <x:c r="A70" s="12" t="n">
        <x:v>1</x:v>
      </x:c>
      <x:c r="B70" s="12" t="str">
        <x:v>OR-066</x:v>
      </x:c>
      <x:c r="C70" s="12" t="str">
        <x:v>FLP</x:v>
      </x:c>
      <x:c r="D70" s="12" t="str">
        <x:v>FLP</x:v>
      </x:c>
      <x:c r="E70" s="12" t="str">
        <x:v>FLP</x:v>
      </x:c>
      <x:c r="F70" s="12"/>
      <x:c r="G70" s="12" t="n">
        <x:v>1</x:v>
      </x:c>
      <x:c r="H70" s="12" t="n">
        <x:v>1</x:v>
      </x:c>
      <x:c r="I70" s="12" t="n">
        <x:v>1</x:v>
      </x:c>
      <x:c r="J70" s="12" t="n">
        <x:v>1</x:v>
      </x:c>
      <x:c r="K70" s="10" t="n">
        <x:v>11396.51</x:v>
      </x:c>
      <x:c r="L70" s="10" t="n">
        <x:v>11396.51</x:v>
      </x:c>
      <x:c r="M70" s="10" t="n">
        <x:v>0</x:v>
      </x:c>
      <x:c r="N70" s="11" t="n">
        <x:v>0</x:v>
      </x:c>
      <x:c r="O70" s="2" t="str">
        <x:v>目标匹配</x:v>
      </x:c>
      <x:c r="P70" s="2" t="str">
        <x:v>completed</x:v>
      </x:c>
      <x:c r="Q70" s="2"/>
      <x:c r="R70" s="2" t="str">
        <x:v>TP,NRM,RA,FLP,AP,Mixture,Others</x:v>
      </x:c>
      <x:c r="S70" s="13" t="n">
        <x:v>1</x:v>
      </x:c>
    </x:row>
    <x:row r="71" ht="23" customHeight="1">
      <x:c r="A71" s="12" t="n">
        <x:v>1</x:v>
      </x:c>
      <x:c r="B71" s="12" t="str">
        <x:v>OR-067</x:v>
      </x:c>
      <x:c r="C71" s="12" t="str">
        <x:v>AP</x:v>
      </x:c>
      <x:c r="D71" s="12" t="str">
        <x:v>AP</x:v>
      </x:c>
      <x:c r="E71" s="12" t="str">
        <x:v>AP</x:v>
      </x:c>
      <x:c r="F71" s="12"/>
      <x:c r="G71" s="12" t="n">
        <x:v>1</x:v>
      </x:c>
      <x:c r="H71" s="12" t="n">
        <x:v>1</x:v>
      </x:c>
      <x:c r="I71" s="12" t="n">
        <x:v>1</x:v>
      </x:c>
      <x:c r="J71" s="12" t="n">
        <x:v>1</x:v>
      </x:c>
      <x:c r="K71" s="10" t="n">
        <x:v>9000</x:v>
      </x:c>
      <x:c r="L71" s="10" t="n">
        <x:v>9000</x:v>
      </x:c>
      <x:c r="M71" s="10" t="n">
        <x:v>0</x:v>
      </x:c>
      <x:c r="N71" s="11" t="n">
        <x:v>0</x:v>
      </x:c>
      <x:c r="O71" s="2" t="str">
        <x:v>目标匹配</x:v>
      </x:c>
      <x:c r="P71" s="2" t="str">
        <x:v>completed</x:v>
      </x:c>
      <x:c r="Q71" s="2"/>
      <x:c r="R71" s="2" t="str">
        <x:v>TP,NRM,RA,FLP,AP,Mixture,Others</x:v>
      </x:c>
      <x:c r="S71" s="13" t="n">
        <x:v>1</x:v>
      </x:c>
    </x:row>
    <x:row r="72" ht="23" customHeight="1">
      <x:c r="A72" s="12" t="n">
        <x:v>1</x:v>
      </x:c>
      <x:c r="B72" s="12" t="str">
        <x:v>OR-068</x:v>
      </x:c>
      <x:c r="C72" s="12" t="str">
        <x:v>AP</x:v>
      </x:c>
      <x:c r="D72" s="12" t="str">
        <x:v>AP</x:v>
      </x:c>
      <x:c r="E72" s="12" t="str">
        <x:v>AP</x:v>
      </x:c>
      <x:c r="F72" s="12"/>
      <x:c r="G72" s="12" t="n">
        <x:v>1</x:v>
      </x:c>
      <x:c r="H72" s="12" t="n">
        <x:v>1</x:v>
      </x:c>
      <x:c r="I72" s="12" t="n">
        <x:v>1</x:v>
      </x:c>
      <x:c r="J72" s="12" t="n">
        <x:v>1</x:v>
      </x:c>
      <x:c r="K72" s="10" t="n">
        <x:v>9089</x:v>
      </x:c>
      <x:c r="L72" s="10" t="n">
        <x:v>9089</x:v>
      </x:c>
      <x:c r="M72" s="10" t="n">
        <x:v>0</x:v>
      </x:c>
      <x:c r="N72" s="11" t="n">
        <x:v>0</x:v>
      </x:c>
      <x:c r="O72" s="2" t="str">
        <x:v>目标匹配</x:v>
      </x:c>
      <x:c r="P72" s="2" t="str">
        <x:v>completed</x:v>
      </x:c>
      <x:c r="Q72" s="2"/>
      <x:c r="R72" s="2" t="str">
        <x:v>TP,NRM,RA,FLP,AP,Mixture,Others</x:v>
      </x:c>
      <x:c r="S72" s="13" t="n">
        <x:v>1</x:v>
      </x:c>
    </x:row>
    <x:row r="73" ht="23" customHeight="1">
      <x:c r="A73" s="12" t="n">
        <x:v>1</x:v>
      </x:c>
      <x:c r="B73" s="12" t="str">
        <x:v>OR-069</x:v>
      </x:c>
      <x:c r="C73" s="12" t="str">
        <x:v>AP</x:v>
      </x:c>
      <x:c r="D73" s="12" t="str">
        <x:v>AP</x:v>
      </x:c>
      <x:c r="E73" s="12" t="str">
        <x:v>AP</x:v>
      </x:c>
      <x:c r="F73" s="12"/>
      <x:c r="G73" s="12" t="n">
        <x:v>1</x:v>
      </x:c>
      <x:c r="H73" s="12" t="n">
        <x:v>1</x:v>
      </x:c>
      <x:c r="I73" s="12" t="n">
        <x:v>1</x:v>
      </x:c>
      <x:c r="J73" s="12" t="n">
        <x:v>1</x:v>
      </x:c>
      <x:c r="K73" s="10" t="n">
        <x:v>4903</x:v>
      </x:c>
      <x:c r="L73" s="10" t="n">
        <x:v>4903</x:v>
      </x:c>
      <x:c r="M73" s="10" t="n">
        <x:v>0</x:v>
      </x:c>
      <x:c r="N73" s="11" t="n">
        <x:v>0</x:v>
      </x:c>
      <x:c r="O73" s="2" t="str">
        <x:v>目标匹配</x:v>
      </x:c>
      <x:c r="P73" s="2" t="str">
        <x:v>completed</x:v>
      </x:c>
      <x:c r="Q73" s="2"/>
      <x:c r="R73" s="2" t="str">
        <x:v>TP,NRM,RA,FLP,AP,Mixture,Others</x:v>
      </x:c>
      <x:c r="S73" s="13" t="n">
        <x:v>1</x:v>
      </x:c>
    </x:row>
    <x:row r="74" ht="23" customHeight="1">
      <x:c r="A74" s="12" t="n">
        <x:v>1</x:v>
      </x:c>
      <x:c r="B74" s="12" t="str">
        <x:v>OR-070</x:v>
      </x:c>
      <x:c r="C74" s="12" t="str">
        <x:v>AP</x:v>
      </x:c>
      <x:c r="D74" s="12" t="str">
        <x:v>AP</x:v>
      </x:c>
      <x:c r="E74" s="12" t="str">
        <x:v>AP</x:v>
      </x:c>
      <x:c r="F74" s="12"/>
      <x:c r="G74" s="12" t="n">
        <x:v>1</x:v>
      </x:c>
      <x:c r="H74" s="12" t="n">
        <x:v>1</x:v>
      </x:c>
      <x:c r="I74" s="12" t="n">
        <x:v>1</x:v>
      </x:c>
      <x:c r="J74" s="12" t="n">
        <x:v>1</x:v>
      </x:c>
      <x:c r="K74" s="10" t="n">
        <x:v>8809</x:v>
      </x:c>
      <x:c r="L74" s="10" t="n">
        <x:v>8809</x:v>
      </x:c>
      <x:c r="M74" s="10" t="n">
        <x:v>0</x:v>
      </x:c>
      <x:c r="N74" s="11" t="n">
        <x:v>0</x:v>
      </x:c>
      <x:c r="O74" s="2" t="str">
        <x:v>目标匹配</x:v>
      </x:c>
      <x:c r="P74" s="2" t="str">
        <x:v>completed</x:v>
      </x:c>
      <x:c r="Q74" s="2"/>
      <x:c r="R74" s="2" t="str">
        <x:v>TP,NRM,RA,FLP,AP,Mixture,Others</x:v>
      </x:c>
      <x:c r="S74" s="13" t="n">
        <x:v>1</x:v>
      </x:c>
    </x:row>
    <x:row r="75" ht="23" customHeight="1">
      <x:c r="A75" s="12" t="n">
        <x:v>1</x:v>
      </x:c>
      <x:c r="B75" s="12" t="str">
        <x:v>OR-071</x:v>
      </x:c>
      <x:c r="C75" s="12" t="str">
        <x:v>Mixture</x:v>
      </x:c>
      <x:c r="D75" s="12" t="str">
        <x:v>RA</x:v>
      </x:c>
      <x:c r="E75" s="12" t="str">
        <x:v>RA</x:v>
      </x:c>
      <x:c r="F75" s="12"/>
      <x:c r="G75" s="12" t="n">
        <x:v>1</x:v>
      </x:c>
      <x:c r="H75" s="12" t="n">
        <x:v>0</x:v>
      </x:c>
      <x:c r="I75" s="12" t="n">
        <x:v>1</x:v>
      </x:c>
      <x:c r="J75" s="12" t="n">
        <x:v>1</x:v>
      </x:c>
      <x:c r="K75" s="10" t="n">
        <x:v>24877.394636015328</x:v>
      </x:c>
      <x:c r="L75" s="10" t="n">
        <x:v>24877.39</x:v>
      </x:c>
      <x:c r="M75" s="10" t="n">
        <x:v>0.004636015328287613</x:v>
      </x:c>
      <x:c r="N75" s="11" t="n">
        <x:v>1.8635457048700096e-7</x:v>
      </x:c>
      <x:c r="O75" s="2" t="str">
        <x:v>目标匹配</x:v>
      </x:c>
      <x:c r="P75" s="2" t="str">
        <x:v>completed</x:v>
      </x:c>
      <x:c r="Q75" s="2"/>
      <x:c r="R75" s="2" t="str">
        <x:v>TP,NRM,RA,FLP,AP,Mixture,Others</x:v>
      </x:c>
      <x:c r="S75" s="13" t="n">
        <x:v>0</x:v>
      </x:c>
    </x:row>
    <x:row r="76" ht="23" customHeight="1">
      <x:c r="A76" s="12" t="n">
        <x:v>1</x:v>
      </x:c>
      <x:c r="B76" s="12" t="str">
        <x:v>OR-072</x:v>
      </x:c>
      <x:c r="C76" s="12" t="str">
        <x:v>Others</x:v>
      </x:c>
      <x:c r="D76" s="12" t="str">
        <x:v>Others</x:v>
      </x:c>
      <x:c r="E76" s="12" t="str">
        <x:v>Others</x:v>
      </x:c>
      <x:c r="F76" s="12"/>
      <x:c r="G76" s="12" t="n">
        <x:v>1</x:v>
      </x:c>
      <x:c r="H76" s="12" t="n">
        <x:v>1</x:v>
      </x:c>
      <x:c r="I76" s="12" t="n">
        <x:v>1</x:v>
      </x:c>
      <x:c r="J76" s="12" t="n">
        <x:v>1</x:v>
      </x:c>
      <x:c r="K76" s="10" t="n">
        <x:v>320</x:v>
      </x:c>
      <x:c r="L76" s="10" t="n">
        <x:v>320</x:v>
      </x:c>
      <x:c r="M76" s="10" t="n">
        <x:v>0</x:v>
      </x:c>
      <x:c r="N76" s="11" t="n">
        <x:v>0</x:v>
      </x:c>
      <x:c r="O76" s="2" t="str">
        <x:v>目标匹配</x:v>
      </x:c>
      <x:c r="P76" s="2" t="str">
        <x:v>completed</x:v>
      </x:c>
      <x:c r="Q76" s="2"/>
      <x:c r="R76" s="2" t="str">
        <x:v>TP,NRM,RA,FLP,AP,Mixture,Others</x:v>
      </x:c>
      <x:c r="S76" s="13" t="n">
        <x:v>1</x:v>
      </x:c>
    </x:row>
    <x:row r="77" ht="23" customHeight="1">
      <x:c r="A77" s="12" t="n">
        <x:v>1</x:v>
      </x:c>
      <x:c r="B77" s="12" t="str">
        <x:v>OR-073</x:v>
      </x:c>
      <x:c r="C77" s="12" t="str">
        <x:v>Mixture</x:v>
      </x:c>
      <x:c r="D77" s="12" t="str">
        <x:v>Mixture</x:v>
      </x:c>
      <x:c r="E77" s="12" t="str">
        <x:v>Others</x:v>
      </x:c>
      <x:c r="F77" s="12"/>
      <x:c r="G77" s="12" t="n">
        <x:v>1</x:v>
      </x:c>
      <x:c r="H77" s="12" t="n">
        <x:v>1</x:v>
      </x:c>
      <x:c r="I77" s="12" t="n">
        <x:v>1</x:v>
      </x:c>
      <x:c r="J77" s="12" t="n">
        <x:v>1</x:v>
      </x:c>
      <x:c r="K77" s="10" t="n">
        <x:v>1146.5665024630537</x:v>
      </x:c>
      <x:c r="L77" s="10" t="n">
        <x:v>1146.57</x:v>
      </x:c>
      <x:c r="M77" s="10" t="n">
        <x:v>0.0034975369462699746</x:v>
      </x:c>
      <x:c r="N77" s="11" t="n">
        <x:v>0.000003050434728163108</x:v>
      </x:c>
      <x:c r="O77" s="2" t="str">
        <x:v>目标匹配</x:v>
      </x:c>
      <x:c r="P77" s="2" t="str">
        <x:v>completed</x:v>
      </x:c>
      <x:c r="Q77" s="2"/>
      <x:c r="R77" s="2" t="str">
        <x:v>TP,NRM,RA,FLP,AP,Mixture,Others</x:v>
      </x:c>
      <x:c r="S77" s="13" t="n">
        <x:v>1</x:v>
      </x:c>
    </x:row>
    <x:row r="78" ht="23" customHeight="1">
      <x:c r="A78" s="12" t="n">
        <x:v>1</x:v>
      </x:c>
      <x:c r="B78" s="12" t="str">
        <x:v>OR-074</x:v>
      </x:c>
      <x:c r="C78" s="12" t="str">
        <x:v>Others</x:v>
      </x:c>
      <x:c r="D78" s="12" t="str">
        <x:v>Others</x:v>
      </x:c>
      <x:c r="E78" s="12" t="str">
        <x:v>Others</x:v>
      </x:c>
      <x:c r="F78" s="12"/>
      <x:c r="G78" s="12" t="n">
        <x:v>1</x:v>
      </x:c>
      <x:c r="H78" s="12" t="n">
        <x:v>1</x:v>
      </x:c>
      <x:c r="I78" s="12" t="n">
        <x:v>1</x:v>
      </x:c>
      <x:c r="J78" s="12" t="n">
        <x:v>1</x:v>
      </x:c>
      <x:c r="K78" s="10" t="n">
        <x:v>25</x:v>
      </x:c>
      <x:c r="L78" s="10" t="n">
        <x:v>25</x:v>
      </x:c>
      <x:c r="M78" s="10" t="n">
        <x:v>0</x:v>
      </x:c>
      <x:c r="N78" s="11" t="n">
        <x:v>0</x:v>
      </x:c>
      <x:c r="O78" s="2" t="str">
        <x:v>目标匹配</x:v>
      </x:c>
      <x:c r="P78" s="2" t="str">
        <x:v>completed</x:v>
      </x:c>
      <x:c r="Q78" s="2"/>
      <x:c r="R78" s="2" t="str">
        <x:v>TP,NRM,RA,FLP,AP,Mixture,Others</x:v>
      </x:c>
      <x:c r="S78" s="13" t="n">
        <x:v>1</x:v>
      </x:c>
    </x:row>
    <x:row r="79" ht="23" customHeight="1">
      <x:c r="A79" s="12" t="n">
        <x:v>1</x:v>
      </x:c>
      <x:c r="B79" s="12" t="str">
        <x:v>OR-075</x:v>
      </x:c>
      <x:c r="C79" s="12" t="str">
        <x:v>Mixture</x:v>
      </x:c>
      <x:c r="D79" s="12" t="str">
        <x:v>Mixture</x:v>
      </x:c>
      <x:c r="E79" s="12" t="str">
        <x:v>Others</x:v>
      </x:c>
      <x:c r="F79" s="12"/>
      <x:c r="G79" s="12" t="n">
        <x:v>1</x:v>
      </x:c>
      <x:c r="H79" s="12" t="n">
        <x:v>1</x:v>
      </x:c>
      <x:c r="I79" s="12" t="n">
        <x:v>1</x:v>
      </x:c>
      <x:c r="J79" s="12" t="n">
        <x:v>1</x:v>
      </x:c>
      <x:c r="K79" s="10" t="n">
        <x:v>1514</x:v>
      </x:c>
      <x:c r="L79" s="10" t="n">
        <x:v>1514</x:v>
      </x:c>
      <x:c r="M79" s="10" t="n">
        <x:v>0</x:v>
      </x:c>
      <x:c r="N79" s="11" t="n">
        <x:v>0</x:v>
      </x:c>
      <x:c r="O79" s="2" t="str">
        <x:v>目标匹配</x:v>
      </x:c>
      <x:c r="P79" s="2" t="str">
        <x:v>completed</x:v>
      </x:c>
      <x:c r="Q79" s="2"/>
      <x:c r="R79" s="2" t="str">
        <x:v>TP,NRM,RA,FLP,AP,Mixture,Others</x:v>
      </x:c>
      <x:c r="S79" s="13" t="n">
        <x:v>1</x:v>
      </x:c>
    </x:row>
    <x:row r="80" ht="23" customHeight="1">
      <x:c r="A80" s="12" t="n">
        <x:v>1</x:v>
      </x:c>
      <x:c r="B80" s="12" t="str">
        <x:v>OR-076</x:v>
      </x:c>
      <x:c r="C80" s="12" t="str">
        <x:v>FLP</x:v>
      </x:c>
      <x:c r="D80" s="12" t="str">
        <x:v>FLP</x:v>
      </x:c>
      <x:c r="E80" s="12" t="str">
        <x:v>FLP</x:v>
      </x:c>
      <x:c r="F80" s="12"/>
      <x:c r="G80" s="12" t="n">
        <x:v>1</x:v>
      </x:c>
      <x:c r="H80" s="12" t="n">
        <x:v>1</x:v>
      </x:c>
      <x:c r="I80" s="12" t="n">
        <x:v>1</x:v>
      </x:c>
      <x:c r="J80" s="12" t="n">
        <x:v>1</x:v>
      </x:c>
      <x:c r="K80" s="10" t="n">
        <x:v>103090</x:v>
      </x:c>
      <x:c r="L80" s="10" t="n">
        <x:v>103090</x:v>
      </x:c>
      <x:c r="M80" s="10" t="n">
        <x:v>0</x:v>
      </x:c>
      <x:c r="N80" s="11" t="n">
        <x:v>0</x:v>
      </x:c>
      <x:c r="O80" s="2" t="str">
        <x:v>目标匹配</x:v>
      </x:c>
      <x:c r="P80" s="2" t="str">
        <x:v>completed</x:v>
      </x:c>
      <x:c r="Q80" s="2"/>
      <x:c r="R80" s="2" t="str">
        <x:v>TP,NRM,RA,FLP,AP,Mixture,Others</x:v>
      </x:c>
      <x:c r="S80" s="13" t="n">
        <x:v>1</x:v>
      </x:c>
    </x:row>
    <x:row r="81" ht="23" customHeight="1">
      <x:c r="A81" s="12" t="n">
        <x:v>1</x:v>
      </x:c>
      <x:c r="B81" s="12" t="str">
        <x:v>OR-077</x:v>
      </x:c>
      <x:c r="C81" s="12" t="str">
        <x:v>Others</x:v>
      </x:c>
      <x:c r="D81" s="12" t="str">
        <x:v>Others</x:v>
      </x:c>
      <x:c r="E81" s="12" t="str">
        <x:v>Others</x:v>
      </x:c>
      <x:c r="F81" s="12"/>
      <x:c r="G81" s="12" t="n">
        <x:v>1</x:v>
      </x:c>
      <x:c r="H81" s="12" t="n">
        <x:v>1</x:v>
      </x:c>
      <x:c r="I81" s="12" t="n">
        <x:v>1</x:v>
      </x:c>
      <x:c r="J81" s="12" t="n">
        <x:v>1</x:v>
      </x:c>
      <x:c r="K81" s="10" t="n">
        <x:v>133</x:v>
      </x:c>
      <x:c r="L81" s="10" t="n">
        <x:v>133</x:v>
      </x:c>
      <x:c r="M81" s="10" t="n">
        <x:v>0</x:v>
      </x:c>
      <x:c r="N81" s="11" t="n">
        <x:v>0</x:v>
      </x:c>
      <x:c r="O81" s="2" t="str">
        <x:v>目标匹配</x:v>
      </x:c>
      <x:c r="P81" s="2" t="str">
        <x:v>completed</x:v>
      </x:c>
      <x:c r="Q81" s="2"/>
      <x:c r="R81" s="2" t="str">
        <x:v>TP,NRM,RA,FLP,AP,Mixture,Others</x:v>
      </x:c>
      <x:c r="S81" s="13" t="n">
        <x:v>1</x:v>
      </x:c>
    </x:row>
    <x:row r="82" ht="23" customHeight="1">
      <x:c r="A82" s="12" t="n">
        <x:v>1</x:v>
      </x:c>
      <x:c r="B82" s="12" t="str">
        <x:v>OR-078</x:v>
      </x:c>
      <x:c r="C82" s="12" t="str">
        <x:v>Mixture</x:v>
      </x:c>
      <x:c r="D82" s="12" t="str">
        <x:v>RA</x:v>
      </x:c>
      <x:c r="E82" s="12" t="str">
        <x:v>RA</x:v>
      </x:c>
      <x:c r="F82" s="12"/>
      <x:c r="G82" s="12" t="n">
        <x:v>1</x:v>
      </x:c>
      <x:c r="H82" s="12" t="n">
        <x:v>0</x:v>
      </x:c>
      <x:c r="I82" s="12" t="n">
        <x:v>1</x:v>
      </x:c>
      <x:c r="J82" s="12" t="n">
        <x:v>1</x:v>
      </x:c>
      <x:c r="K82" s="10" t="n">
        <x:v>152.76</x:v>
      </x:c>
      <x:c r="L82" s="10" t="n">
        <x:v>152.76</x:v>
      </x:c>
      <x:c r="M82" s="10" t="n">
        <x:v>0</x:v>
      </x:c>
      <x:c r="N82" s="11" t="n">
        <x:v>0</x:v>
      </x:c>
      <x:c r="O82" s="2" t="str">
        <x:v>目标匹配</x:v>
      </x:c>
      <x:c r="P82" s="2" t="str">
        <x:v>completed</x:v>
      </x:c>
      <x:c r="Q82" s="2"/>
      <x:c r="R82" s="2" t="str">
        <x:v>TP,NRM,RA,FLP,AP,Mixture,Others</x:v>
      </x:c>
      <x:c r="S82" s="13" t="n">
        <x:v>0</x:v>
      </x:c>
    </x:row>
    <x:row r="83" ht="23" customHeight="1">
      <x:c r="A83" s="12" t="n">
        <x:v>1</x:v>
      </x:c>
      <x:c r="B83" s="12" t="str">
        <x:v>OR-079</x:v>
      </x:c>
      <x:c r="C83" s="12" t="str">
        <x:v>FLP</x:v>
      </x:c>
      <x:c r="D83" s="12" t="str">
        <x:v>FLP</x:v>
      </x:c>
      <x:c r="E83" s="12" t="str">
        <x:v>FLP</x:v>
      </x:c>
      <x:c r="F83" s="12"/>
      <x:c r="G83" s="12" t="n">
        <x:v>1</x:v>
      </x:c>
      <x:c r="H83" s="12" t="n">
        <x:v>1</x:v>
      </x:c>
      <x:c r="I83" s="12" t="n">
        <x:v>1</x:v>
      </x:c>
      <x:c r="J83" s="12" t="n">
        <x:v>1</x:v>
      </x:c>
      <x:c r="K83" s="10" t="n">
        <x:v>2965</x:v>
      </x:c>
      <x:c r="L83" s="10" t="n">
        <x:v>2965</x:v>
      </x:c>
      <x:c r="M83" s="10" t="n">
        <x:v>0</x:v>
      </x:c>
      <x:c r="N83" s="11" t="n">
        <x:v>0</x:v>
      </x:c>
      <x:c r="O83" s="2" t="str">
        <x:v>目标匹配</x:v>
      </x:c>
      <x:c r="P83" s="2" t="str">
        <x:v>completed</x:v>
      </x:c>
      <x:c r="Q83" s="2"/>
      <x:c r="R83" s="2" t="str">
        <x:v>TP,NRM,RA,FLP,AP,Mixture,Others</x:v>
      </x:c>
      <x:c r="S83" s="13" t="n">
        <x:v>1</x:v>
      </x:c>
    </x:row>
    <x:row r="84" ht="23" customHeight="1">
      <x:c r="A84" s="12" t="n">
        <x:v>1</x:v>
      </x:c>
      <x:c r="B84" s="12" t="str">
        <x:v>OR-080</x:v>
      </x:c>
      <x:c r="C84" s="12" t="str">
        <x:v>Mixture</x:v>
      </x:c>
      <x:c r="D84" s="12" t="str">
        <x:v>Mixture</x:v>
      </x:c>
      <x:c r="E84" s="12" t="str">
        <x:v>Others</x:v>
      </x:c>
      <x:c r="F84" s="12"/>
      <x:c r="G84" s="12" t="n">
        <x:v>1</x:v>
      </x:c>
      <x:c r="H84" s="12" t="n">
        <x:v>1</x:v>
      </x:c>
      <x:c r="I84" s="12" t="n">
        <x:v>1</x:v>
      </x:c>
      <x:c r="J84" s="12" t="n">
        <x:v>0</x:v>
      </x:c>
      <x:c r="K84" s="10" t="n">
        <x:v>16470</x:v>
      </x:c>
      <x:c r="L84" s="10" t="n">
        <x:v>14300</x:v>
      </x:c>
      <x:c r="M84" s="10" t="n">
        <x:v>2170</x:v>
      </x:c>
      <x:c r="N84" s="11" t="n">
        <x:v>0.15174825174825174</x:v>
      </x:c>
      <x:c r="O84" s="2" t="str">
        <x:v>已求解但目标不匹配</x:v>
      </x:c>
      <x:c r="P84" s="2" t="str">
        <x:v>completed</x:v>
      </x:c>
      <x:c r="Q84" s="2"/>
      <x:c r="R84" s="2" t="str">
        <x:v>TP,NRM,RA,FLP,AP,Mixture,Others</x:v>
      </x:c>
      <x:c r="S84" s="13" t="n">
        <x:v>1</x:v>
      </x:c>
    </x:row>
    <x:row r="85" ht="23" customHeight="1">
      <x:c r="A85" s="12" t="n">
        <x:v>1</x:v>
      </x:c>
      <x:c r="B85" s="12" t="str">
        <x:v>OR-081</x:v>
      </x:c>
      <x:c r="C85" s="12" t="str">
        <x:v>Others</x:v>
      </x:c>
      <x:c r="D85" s="12" t="str">
        <x:v>Others</x:v>
      </x:c>
      <x:c r="E85" s="12" t="str">
        <x:v>Others</x:v>
      </x:c>
      <x:c r="F85" s="12"/>
      <x:c r="G85" s="12" t="n">
        <x:v>1</x:v>
      </x:c>
      <x:c r="H85" s="12" t="n">
        <x:v>1</x:v>
      </x:c>
      <x:c r="I85" s="12" t="n">
        <x:v>1</x:v>
      </x:c>
      <x:c r="J85" s="12" t="n">
        <x:v>1</x:v>
      </x:c>
      <x:c r="K85" s="10" t="n">
        <x:v>3.910164341169253</x:v>
      </x:c>
      <x:c r="L85" s="10" t="n">
        <x:v>3.91</x:v>
      </x:c>
      <x:c r="M85" s="10" t="n">
        <x:v>0.00016434116925267972</x:v>
      </x:c>
      <x:c r="N85" s="11" t="n">
        <x:v>0.000042030989578690465</x:v>
      </x:c>
      <x:c r="O85" s="2" t="str">
        <x:v>目标匹配</x:v>
      </x:c>
      <x:c r="P85" s="2" t="str">
        <x:v>completed</x:v>
      </x:c>
      <x:c r="Q85" s="2"/>
      <x:c r="R85" s="2" t="str">
        <x:v>TP,NRM,RA,FLP,AP,Mixture,Others</x:v>
      </x:c>
      <x:c r="S85" s="13" t="n">
        <x:v>1</x:v>
      </x:c>
    </x:row>
    <x:row r="86" ht="23" customHeight="1">
      <x:c r="A86" s="12" t="n">
        <x:v>1</x:v>
      </x:c>
      <x:c r="B86" s="12" t="str">
        <x:v>OR-082</x:v>
      </x:c>
      <x:c r="C86" s="12" t="str">
        <x:v>Others</x:v>
      </x:c>
      <x:c r="D86" s="12" t="str">
        <x:v>Others</x:v>
      </x:c>
      <x:c r="E86" s="12" t="str">
        <x:v>Others</x:v>
      </x:c>
      <x:c r="F86" s="12"/>
      <x:c r="G86" s="12" t="n">
        <x:v>1</x:v>
      </x:c>
      <x:c r="H86" s="12" t="n">
        <x:v>1</x:v>
      </x:c>
      <x:c r="I86" s="12" t="n">
        <x:v>1</x:v>
      </x:c>
      <x:c r="J86" s="12" t="n">
        <x:v>1</x:v>
      </x:c>
      <x:c r="K86" s="10" t="n">
        <x:v>199</x:v>
      </x:c>
      <x:c r="L86" s="10" t="n">
        <x:v>199</x:v>
      </x:c>
      <x:c r="M86" s="10" t="n">
        <x:v>0</x:v>
      </x:c>
      <x:c r="N86" s="11" t="n">
        <x:v>0</x:v>
      </x:c>
      <x:c r="O86" s="2" t="str">
        <x:v>目标匹配</x:v>
      </x:c>
      <x:c r="P86" s="2" t="str">
        <x:v>completed</x:v>
      </x:c>
      <x:c r="Q86" s="2"/>
      <x:c r="R86" s="2" t="str">
        <x:v>TP,NRM,RA,FLP,AP,Mixture,Others</x:v>
      </x:c>
      <x:c r="S86" s="13" t="n">
        <x:v>1</x:v>
      </x:c>
    </x:row>
    <x:row r="87" ht="23" customHeight="1">
      <x:c r="A87" s="12" t="n">
        <x:v>1</x:v>
      </x:c>
      <x:c r="B87" s="12" t="str">
        <x:v>OR-083</x:v>
      </x:c>
      <x:c r="C87" s="12" t="str">
        <x:v>Mixture</x:v>
      </x:c>
      <x:c r="D87" s="12" t="str">
        <x:v>Mixture</x:v>
      </x:c>
      <x:c r="E87" s="12" t="str">
        <x:v>Others</x:v>
      </x:c>
      <x:c r="F87" s="12"/>
      <x:c r="G87" s="12" t="n">
        <x:v>1</x:v>
      </x:c>
      <x:c r="H87" s="12" t="n">
        <x:v>1</x:v>
      </x:c>
      <x:c r="I87" s="12" t="n">
        <x:v>1</x:v>
      </x:c>
      <x:c r="J87" s="12" t="n">
        <x:v>1</x:v>
      </x:c>
      <x:c r="K87" s="10" t="n">
        <x:v>34</x:v>
      </x:c>
      <x:c r="L87" s="10" t="n">
        <x:v>34</x:v>
      </x:c>
      <x:c r="M87" s="10" t="n">
        <x:v>0</x:v>
      </x:c>
      <x:c r="N87" s="11" t="n">
        <x:v>0</x:v>
      </x:c>
      <x:c r="O87" s="2" t="str">
        <x:v>目标匹配</x:v>
      </x:c>
      <x:c r="P87" s="2" t="str">
        <x:v>completed</x:v>
      </x:c>
      <x:c r="Q87" s="2"/>
      <x:c r="R87" s="2" t="str">
        <x:v>TP,NRM,RA,FLP,AP,Mixture,Others</x:v>
      </x:c>
      <x:c r="S87" s="13" t="n">
        <x:v>1</x:v>
      </x:c>
    </x:row>
    <x:row r="88" ht="23" customHeight="1">
      <x:c r="A88" s="12" t="n">
        <x:v>1</x:v>
      </x:c>
      <x:c r="B88" s="12" t="str">
        <x:v>OR-084</x:v>
      </x:c>
      <x:c r="C88" s="12" t="str">
        <x:v>Others</x:v>
      </x:c>
      <x:c r="D88" s="12" t="str">
        <x:v>Others</x:v>
      </x:c>
      <x:c r="E88" s="12" t="str">
        <x:v>Others</x:v>
      </x:c>
      <x:c r="F88" s="12"/>
      <x:c r="G88" s="12" t="n">
        <x:v>1</x:v>
      </x:c>
      <x:c r="H88" s="12" t="n">
        <x:v>1</x:v>
      </x:c>
      <x:c r="I88" s="12" t="n">
        <x:v>1</x:v>
      </x:c>
      <x:c r="J88" s="12" t="n">
        <x:v>1</x:v>
      </x:c>
      <x:c r="K88" s="10" t="n">
        <x:v>22.85</x:v>
      </x:c>
      <x:c r="L88" s="10" t="n">
        <x:v>22.85</x:v>
      </x:c>
      <x:c r="M88" s="10" t="n">
        <x:v>0</x:v>
      </x:c>
      <x:c r="N88" s="11" t="n">
        <x:v>0</x:v>
      </x:c>
      <x:c r="O88" s="2" t="str">
        <x:v>目标匹配</x:v>
      </x:c>
      <x:c r="P88" s="2" t="str">
        <x:v>completed</x:v>
      </x:c>
      <x:c r="Q88" s="2"/>
      <x:c r="R88" s="2" t="str">
        <x:v>TP,NRM,RA,FLP,AP,Mixture,Others</x:v>
      </x:c>
      <x:c r="S88" s="13" t="n">
        <x:v>1</x:v>
      </x:c>
    </x:row>
    <x:row r="89" ht="23" customHeight="1">
      <x:c r="A89" s="12" t="n">
        <x:v>1</x:v>
      </x:c>
      <x:c r="B89" s="12" t="str">
        <x:v>OR-085</x:v>
      </x:c>
      <x:c r="C89" s="12" t="str">
        <x:v>Others</x:v>
      </x:c>
      <x:c r="D89" s="12" t="str">
        <x:v>Others</x:v>
      </x:c>
      <x:c r="E89" s="12" t="str">
        <x:v>Others</x:v>
      </x:c>
      <x:c r="F89" s="12"/>
      <x:c r="G89" s="12" t="n">
        <x:v>1</x:v>
      </x:c>
      <x:c r="H89" s="12" t="n">
        <x:v>1</x:v>
      </x:c>
      <x:c r="I89" s="12" t="n">
        <x:v>1</x:v>
      </x:c>
      <x:c r="J89" s="12" t="n">
        <x:v>1</x:v>
      </x:c>
      <x:c r="K89" s="10" t="n">
        <x:v>419</x:v>
      </x:c>
      <x:c r="L89" s="10" t="n">
        <x:v>419</x:v>
      </x:c>
      <x:c r="M89" s="10" t="n">
        <x:v>0</x:v>
      </x:c>
      <x:c r="N89" s="11" t="n">
        <x:v>0</x:v>
      </x:c>
      <x:c r="O89" s="2" t="str">
        <x:v>目标匹配</x:v>
      </x:c>
      <x:c r="P89" s="2" t="str">
        <x:v>completed</x:v>
      </x:c>
      <x:c r="Q89" s="2"/>
      <x:c r="R89" s="2" t="str">
        <x:v>TP,NRM,RA,FLP,AP,Mixture,Others</x:v>
      </x:c>
      <x:c r="S89" s="13" t="n">
        <x:v>1</x:v>
      </x:c>
    </x:row>
    <x:row r="90" ht="23" customHeight="1">
      <x:c r="A90" s="12" t="n">
        <x:v>1</x:v>
      </x:c>
      <x:c r="B90" s="12" t="str">
        <x:v>OR-086</x:v>
      </x:c>
      <x:c r="C90" s="12" t="str">
        <x:v>Mixture</x:v>
      </x:c>
      <x:c r="D90" s="12" t="str">
        <x:v>Mixture</x:v>
      </x:c>
      <x:c r="E90" s="12" t="str">
        <x:v>Others</x:v>
      </x:c>
      <x:c r="F90" s="12"/>
      <x:c r="G90" s="12" t="n">
        <x:v>1</x:v>
      </x:c>
      <x:c r="H90" s="12" t="n">
        <x:v>1</x:v>
      </x:c>
      <x:c r="I90" s="12" t="n">
        <x:v>1</x:v>
      </x:c>
      <x:c r="J90" s="12" t="n">
        <x:v>1</x:v>
      </x:c>
      <x:c r="K90" s="10" t="n">
        <x:v>4500</x:v>
      </x:c>
      <x:c r="L90" s="10" t="n">
        <x:v>4500</x:v>
      </x:c>
      <x:c r="M90" s="10" t="n">
        <x:v>0</x:v>
      </x:c>
      <x:c r="N90" s="11" t="n">
        <x:v>0</x:v>
      </x:c>
      <x:c r="O90" s="2" t="str">
        <x:v>目标匹配</x:v>
      </x:c>
      <x:c r="P90" s="2" t="str">
        <x:v>completed</x:v>
      </x:c>
      <x:c r="Q90" s="2"/>
      <x:c r="R90" s="2" t="str">
        <x:v>TP,NRM,RA,FLP,AP,Mixture,Others</x:v>
      </x:c>
      <x:c r="S90" s="13" t="n">
        <x:v>1</x:v>
      </x:c>
    </x:row>
    <x:row r="91" ht="23" customHeight="1">
      <x:c r="A91" s="12" t="n">
        <x:v>1</x:v>
      </x:c>
      <x:c r="B91" s="12" t="str">
        <x:v>OR-087</x:v>
      </x:c>
      <x:c r="C91" s="12" t="str">
        <x:v>Mixture</x:v>
      </x:c>
      <x:c r="D91" s="12" t="str">
        <x:v>Mixture</x:v>
      </x:c>
      <x:c r="E91" s="12" t="str">
        <x:v>Others</x:v>
      </x:c>
      <x:c r="F91" s="12"/>
      <x:c r="G91" s="12" t="n">
        <x:v>1</x:v>
      </x:c>
      <x:c r="H91" s="12" t="n">
        <x:v>1</x:v>
      </x:c>
      <x:c r="I91" s="12" t="n">
        <x:v>1</x:v>
      </x:c>
      <x:c r="J91" s="12" t="n">
        <x:v>1</x:v>
      </x:c>
      <x:c r="K91" s="10" t="n">
        <x:v>6243055.959999999</x:v>
      </x:c>
      <x:c r="L91" s="10" t="n">
        <x:v>6243055.96</x:v>
      </x:c>
      <x:c r="M91" s="10" t="n">
        <x:v>9.313225746154785e-10</x:v>
      </x:c>
      <x:c r="N91" s="11" t="n">
        <x:v>1.491773549016015e-16</x:v>
      </x:c>
      <x:c r="O91" s="2" t="str">
        <x:v>目标匹配</x:v>
      </x:c>
      <x:c r="P91" s="2" t="str">
        <x:v>completed</x:v>
      </x:c>
      <x:c r="Q91" s="2"/>
      <x:c r="R91" s="2" t="str">
        <x:v>TP,NRM,RA,FLP,AP,Mixture,Others</x:v>
      </x:c>
      <x:c r="S91" s="13" t="n">
        <x:v>1</x:v>
      </x:c>
    </x:row>
    <x:row r="92" ht="23" customHeight="1">
      <x:c r="A92" s="12" t="n">
        <x:v>1</x:v>
      </x:c>
      <x:c r="B92" s="12" t="str">
        <x:v>OR-088</x:v>
      </x:c>
      <x:c r="C92" s="12" t="str">
        <x:v>FLP</x:v>
      </x:c>
      <x:c r="D92" s="12" t="str">
        <x:v>FLP</x:v>
      </x:c>
      <x:c r="E92" s="12" t="str">
        <x:v>FLP</x:v>
      </x:c>
      <x:c r="F92" s="12"/>
      <x:c r="G92" s="12" t="n">
        <x:v>1</x:v>
      </x:c>
      <x:c r="H92" s="12" t="n">
        <x:v>1</x:v>
      </x:c>
      <x:c r="I92" s="12" t="n">
        <x:v>1</x:v>
      </x:c>
      <x:c r="J92" s="12" t="n">
        <x:v>1</x:v>
      </x:c>
      <x:c r="K92" s="10" t="n">
        <x:v>150992.5</x:v>
      </x:c>
      <x:c r="L92" s="10" t="n">
        <x:v>150992.5</x:v>
      </x:c>
      <x:c r="M92" s="10" t="n">
        <x:v>0</x:v>
      </x:c>
      <x:c r="N92" s="11" t="n">
        <x:v>0</x:v>
      </x:c>
      <x:c r="O92" s="2" t="str">
        <x:v>目标匹配</x:v>
      </x:c>
      <x:c r="P92" s="2" t="str">
        <x:v>completed</x:v>
      </x:c>
      <x:c r="Q92" s="2"/>
      <x:c r="R92" s="2" t="str">
        <x:v>TP,NRM,RA,FLP,AP,Mixture,Others</x:v>
      </x:c>
      <x:c r="S92" s="13" t="n">
        <x:v>1</x:v>
      </x:c>
    </x:row>
    <x:row r="93" ht="23" customHeight="1">
      <x:c r="A93" s="12" t="n">
        <x:v>1</x:v>
      </x:c>
      <x:c r="B93" s="12" t="str">
        <x:v>OR-089</x:v>
      </x:c>
      <x:c r="C93" s="12" t="str">
        <x:v>FLP</x:v>
      </x:c>
      <x:c r="D93" s="12" t="str">
        <x:v>FLP</x:v>
      </x:c>
      <x:c r="E93" s="12" t="str">
        <x:v>FLP</x:v>
      </x:c>
      <x:c r="F93" s="12"/>
      <x:c r="G93" s="12" t="n">
        <x:v>1</x:v>
      </x:c>
      <x:c r="H93" s="12" t="n">
        <x:v>1</x:v>
      </x:c>
      <x:c r="I93" s="12" t="n">
        <x:v>1</x:v>
      </x:c>
      <x:c r="J93" s="12" t="n">
        <x:v>1</x:v>
      </x:c>
      <x:c r="K93" s="10" t="n">
        <x:v>1555.4999999999993</x:v>
      </x:c>
      <x:c r="L93" s="10" t="n">
        <x:v>1555.5</x:v>
      </x:c>
      <x:c r="M93" s="10" t="n">
        <x:v>6.821210263296962e-13</x:v>
      </x:c>
      <x:c r="N93" s="11" t="n">
        <x:v>4.385220355703608e-16</x:v>
      </x:c>
      <x:c r="O93" s="2" t="str">
        <x:v>目标匹配</x:v>
      </x:c>
      <x:c r="P93" s="2" t="str">
        <x:v>completed</x:v>
      </x:c>
      <x:c r="Q93" s="2"/>
      <x:c r="R93" s="2" t="str">
        <x:v>TP,NRM,RA,FLP,AP,Mixture,Others</x:v>
      </x:c>
      <x:c r="S93" s="13" t="n">
        <x:v>1</x:v>
      </x:c>
    </x:row>
    <x:row r="94" ht="23" customHeight="1">
      <x:c r="A94" s="12" t="n">
        <x:v>1</x:v>
      </x:c>
      <x:c r="B94" s="12" t="str">
        <x:v>OR-090</x:v>
      </x:c>
      <x:c r="C94" s="12" t="str">
        <x:v>Mixture</x:v>
      </x:c>
      <x:c r="D94" s="12" t="str">
        <x:v>Mixture</x:v>
      </x:c>
      <x:c r="E94" s="12" t="str">
        <x:v>Others</x:v>
      </x:c>
      <x:c r="F94" s="12"/>
      <x:c r="G94" s="12" t="n">
        <x:v>1</x:v>
      </x:c>
      <x:c r="H94" s="12" t="n">
        <x:v>1</x:v>
      </x:c>
      <x:c r="I94" s="12" t="n">
        <x:v>1</x:v>
      </x:c>
      <x:c r="J94" s="12" t="n">
        <x:v>1</x:v>
      </x:c>
      <x:c r="K94" s="10" t="n">
        <x:v>108657.90000000002</x:v>
      </x:c>
      <x:c r="L94" s="10" t="n">
        <x:v>108657.9</x:v>
      </x:c>
      <x:c r="M94" s="10" t="n">
        <x:v>2.9103830456733704e-11</x:v>
      </x:c>
      <x:c r="N94" s="11" t="n">
        <x:v>2.6784826926283046e-16</x:v>
      </x:c>
      <x:c r="O94" s="2" t="str">
        <x:v>目标匹配</x:v>
      </x:c>
      <x:c r="P94" s="2" t="str">
        <x:v>completed</x:v>
      </x:c>
      <x:c r="Q94" s="2"/>
      <x:c r="R94" s="2" t="str">
        <x:v>TP,NRM,RA,FLP,AP,Mixture,Others</x:v>
      </x:c>
      <x:c r="S94" s="13" t="n">
        <x:v>1</x:v>
      </x:c>
    </x:row>
    <x:row r="95" ht="23" customHeight="1">
      <x:c r="A95" s="12" t="n">
        <x:v>1</x:v>
      </x:c>
      <x:c r="B95" s="12" t="str">
        <x:v>OR-091</x:v>
      </x:c>
      <x:c r="C95" s="12" t="str">
        <x:v>Mixture</x:v>
      </x:c>
      <x:c r="D95" s="12" t="str">
        <x:v>Others</x:v>
      </x:c>
      <x:c r="E95" s="12" t="str">
        <x:v>Others</x:v>
      </x:c>
      <x:c r="F95" s="12"/>
      <x:c r="G95" s="12" t="n">
        <x:v>1</x:v>
      </x:c>
      <x:c r="H95" s="12" t="n">
        <x:v>0</x:v>
      </x:c>
      <x:c r="I95" s="12" t="n">
        <x:v>1</x:v>
      </x:c>
      <x:c r="J95" s="12" t="n">
        <x:v>1</x:v>
      </x:c>
      <x:c r="K95" s="10" t="n">
        <x:v>421</x:v>
      </x:c>
      <x:c r="L95" s="10" t="n">
        <x:v>421</x:v>
      </x:c>
      <x:c r="M95" s="10" t="n">
        <x:v>0</x:v>
      </x:c>
      <x:c r="N95" s="11" t="n">
        <x:v>0</x:v>
      </x:c>
      <x:c r="O95" s="2" t="str">
        <x:v>目标匹配</x:v>
      </x:c>
      <x:c r="P95" s="2" t="str">
        <x:v>completed</x:v>
      </x:c>
      <x:c r="Q95" s="2"/>
      <x:c r="R95" s="2" t="str">
        <x:v>TP,NRM,RA,FLP,AP,Mixture,Others</x:v>
      </x:c>
      <x:c r="S95" s="13" t="n">
        <x:v>1</x:v>
      </x:c>
    </x:row>
    <x:row r="96" ht="23" customHeight="1">
      <x:c r="A96" s="12" t="n">
        <x:v>1</x:v>
      </x:c>
      <x:c r="B96" s="12" t="str">
        <x:v>OR-092</x:v>
      </x:c>
      <x:c r="C96" s="12" t="str">
        <x:v>Mixture</x:v>
      </x:c>
      <x:c r="D96" s="12" t="str">
        <x:v>Mixture</x:v>
      </x:c>
      <x:c r="E96" s="12" t="str">
        <x:v>Others</x:v>
      </x:c>
      <x:c r="F96" s="12"/>
      <x:c r="G96" s="12" t="n">
        <x:v>1</x:v>
      </x:c>
      <x:c r="H96" s="12" t="n">
        <x:v>1</x:v>
      </x:c>
      <x:c r="I96" s="12" t="n">
        <x:v>1</x:v>
      </x:c>
      <x:c r="J96" s="12" t="n">
        <x:v>1</x:v>
      </x:c>
      <x:c r="K96" s="10" t="n">
        <x:v>3148.9299999999994</x:v>
      </x:c>
      <x:c r="L96" s="10" t="n">
        <x:v>3148.93</x:v>
      </x:c>
      <x:c r="M96" s="10" t="n">
        <x:v>4.547473508864641e-13</x:v>
      </x:c>
      <x:c r="N96" s="11" t="n">
        <x:v>1.444132930508027e-16</x:v>
      </x:c>
      <x:c r="O96" s="2" t="str">
        <x:v>目标匹配</x:v>
      </x:c>
      <x:c r="P96" s="2" t="str">
        <x:v>completed</x:v>
      </x:c>
      <x:c r="Q96" s="2"/>
      <x:c r="R96" s="2" t="str">
        <x:v>TP,NRM,RA,FLP,AP,Mixture,Others</x:v>
      </x:c>
      <x:c r="S96" s="13" t="n">
        <x:v>1</x:v>
      </x:c>
    </x:row>
    <x:row r="97" ht="23" customHeight="1">
      <x:c r="A97" s="12" t="n">
        <x:v>1</x:v>
      </x:c>
      <x:c r="B97" s="12" t="str">
        <x:v>OR-093</x:v>
      </x:c>
      <x:c r="C97" s="12" t="str">
        <x:v>AP</x:v>
      </x:c>
      <x:c r="D97" s="12" t="str">
        <x:v>AP</x:v>
      </x:c>
      <x:c r="E97" s="12" t="str">
        <x:v>AP</x:v>
      </x:c>
      <x:c r="F97" s="12"/>
      <x:c r="G97" s="12" t="n">
        <x:v>1</x:v>
      </x:c>
      <x:c r="H97" s="12" t="n">
        <x:v>1</x:v>
      </x:c>
      <x:c r="I97" s="12" t="n">
        <x:v>1</x:v>
      </x:c>
      <x:c r="J97" s="12" t="n">
        <x:v>1</x:v>
      </x:c>
      <x:c r="K97" s="10" t="n">
        <x:v>1577.6</x:v>
      </x:c>
      <x:c r="L97" s="10" t="n">
        <x:v>1577.6</x:v>
      </x:c>
      <x:c r="M97" s="10" t="n">
        <x:v>0</x:v>
      </x:c>
      <x:c r="N97" s="11" t="n">
        <x:v>0</x:v>
      </x:c>
      <x:c r="O97" s="2" t="str">
        <x:v>目标匹配</x:v>
      </x:c>
      <x:c r="P97" s="2" t="str">
        <x:v>completed</x:v>
      </x:c>
      <x:c r="Q97" s="2"/>
      <x:c r="R97" s="2" t="str">
        <x:v>TP,NRM,RA,FLP,AP,Mixture,Others</x:v>
      </x:c>
      <x:c r="S97" s="13" t="n">
        <x:v>1</x:v>
      </x:c>
    </x:row>
    <x:row r="98" ht="23" customHeight="1">
      <x:c r="A98" s="12" t="n">
        <x:v>1</x:v>
      </x:c>
      <x:c r="B98" s="12" t="str">
        <x:v>OR-094</x:v>
      </x:c>
      <x:c r="C98" s="12" t="str">
        <x:v>Mixture</x:v>
      </x:c>
      <x:c r="D98" s="12" t="str">
        <x:v>RA</x:v>
      </x:c>
      <x:c r="E98" s="12" t="str">
        <x:v>RA</x:v>
      </x:c>
      <x:c r="F98" s="12"/>
      <x:c r="G98" s="12" t="n">
        <x:v>1</x:v>
      </x:c>
      <x:c r="H98" s="12" t="n">
        <x:v>0</x:v>
      </x:c>
      <x:c r="I98" s="12" t="n">
        <x:v>1</x:v>
      </x:c>
      <x:c r="J98" s="12" t="n">
        <x:v>1</x:v>
      </x:c>
      <x:c r="K98" s="10" t="n">
        <x:v>0.6000000000003638</x:v>
      </x:c>
      <x:c r="L98" s="10" t="n">
        <x:v>0.6</x:v>
      </x:c>
      <x:c r="M98" s="10" t="n">
        <x:v>3.638200851696638e-13</x:v>
      </x:c>
      <x:c r="N98" s="11" t="n">
        <x:v>6.063668086161064e-13</x:v>
      </x:c>
      <x:c r="O98" s="2" t="str">
        <x:v>目标匹配</x:v>
      </x:c>
      <x:c r="P98" s="2" t="str">
        <x:v>completed</x:v>
      </x:c>
      <x:c r="Q98" s="2"/>
      <x:c r="R98" s="2" t="str">
        <x:v>TP,NRM,RA,FLP,AP,Mixture,Others</x:v>
      </x:c>
      <x:c r="S98" s="13" t="n">
        <x:v>0</x:v>
      </x:c>
    </x:row>
    <x:row r="99" ht="23" customHeight="1">
      <x:c r="A99" s="12" t="n">
        <x:v>1</x:v>
      </x:c>
      <x:c r="B99" s="12" t="str">
        <x:v>OR-095</x:v>
      </x:c>
      <x:c r="C99" s="12" t="str">
        <x:v>Mixture</x:v>
      </x:c>
      <x:c r="D99" s="12" t="str">
        <x:v>Mixture</x:v>
      </x:c>
      <x:c r="E99" s="12" t="str">
        <x:v>Others</x:v>
      </x:c>
      <x:c r="F99" s="12"/>
      <x:c r="G99" s="12" t="n">
        <x:v>1</x:v>
      </x:c>
      <x:c r="H99" s="12" t="n">
        <x:v>1</x:v>
      </x:c>
      <x:c r="I99" s="12" t="n">
        <x:v>1</x:v>
      </x:c>
      <x:c r="J99" s="12" t="n">
        <x:v>1</x:v>
      </x:c>
      <x:c r="K99" s="10" t="n">
        <x:v>1344480</x:v>
      </x:c>
      <x:c r="L99" s="10" t="n">
        <x:v>1344480</x:v>
      </x:c>
      <x:c r="M99" s="10" t="n">
        <x:v>0</x:v>
      </x:c>
      <x:c r="N99" s="11" t="n">
        <x:v>0</x:v>
      </x:c>
      <x:c r="O99" s="2" t="str">
        <x:v>目标匹配</x:v>
      </x:c>
      <x:c r="P99" s="2" t="str">
        <x:v>completed</x:v>
      </x:c>
      <x:c r="Q99" s="2"/>
      <x:c r="R99" s="2" t="str">
        <x:v>TP,NRM,RA,FLP,AP,Mixture,Others</x:v>
      </x:c>
      <x:c r="S99" s="13" t="n">
        <x:v>1</x:v>
      </x:c>
    </x:row>
    <x:row r="100" ht="23" customHeight="1">
      <x:c r="A100" s="12" t="n">
        <x:v>1</x:v>
      </x:c>
      <x:c r="B100" s="12" t="str">
        <x:v>OR-096</x:v>
      </x:c>
      <x:c r="C100" s="12" t="str">
        <x:v>Mixture</x:v>
      </x:c>
      <x:c r="D100" s="12" t="str">
        <x:v>Mixture</x:v>
      </x:c>
      <x:c r="E100" s="12" t="str">
        <x:v>Others</x:v>
      </x:c>
      <x:c r="F100" s="12"/>
      <x:c r="G100" s="12" t="n">
        <x:v>1</x:v>
      </x:c>
      <x:c r="H100" s="12" t="n">
        <x:v>1</x:v>
      </x:c>
      <x:c r="I100" s="12" t="n">
        <x:v>1</x:v>
      </x:c>
      <x:c r="J100" s="12" t="n">
        <x:v>1</x:v>
      </x:c>
      <x:c r="K100" s="10" t="n">
        <x:v>5044</x:v>
      </x:c>
      <x:c r="L100" s="10" t="n">
        <x:v>5044</x:v>
      </x:c>
      <x:c r="M100" s="10" t="n">
        <x:v>0</x:v>
      </x:c>
      <x:c r="N100" s="11" t="n">
        <x:v>0</x:v>
      </x:c>
      <x:c r="O100" s="2" t="str">
        <x:v>目标匹配</x:v>
      </x:c>
      <x:c r="P100" s="2" t="str">
        <x:v>completed</x:v>
      </x:c>
      <x:c r="Q100" s="2"/>
      <x:c r="R100" s="2" t="str">
        <x:v>TP,NRM,RA,FLP,AP,Mixture,Others</x:v>
      </x:c>
      <x:c r="S100" s="13" t="n">
        <x:v>1</x:v>
      </x:c>
    </x:row>
    <x:row r="101" ht="23" customHeight="1">
      <x:c r="A101" s="12" t="n">
        <x:v>1</x:v>
      </x:c>
      <x:c r="B101" s="12" t="str">
        <x:v>OR-097</x:v>
      </x:c>
      <x:c r="C101" s="12" t="str">
        <x:v>Mixture</x:v>
      </x:c>
      <x:c r="D101" s="12" t="str">
        <x:v>Mixture</x:v>
      </x:c>
      <x:c r="E101" s="12" t="str">
        <x:v>Others</x:v>
      </x:c>
      <x:c r="F101" s="12"/>
      <x:c r="G101" s="12" t="n">
        <x:v>1</x:v>
      </x:c>
      <x:c r="H101" s="12" t="n">
        <x:v>1</x:v>
      </x:c>
      <x:c r="I101" s="12" t="n">
        <x:v>1</x:v>
      </x:c>
      <x:c r="J101" s="12" t="n">
        <x:v>1</x:v>
      </x:c>
      <x:c r="K101" s="10" t="n">
        <x:v>6</x:v>
      </x:c>
      <x:c r="L101" s="10" t="n">
        <x:v>6</x:v>
      </x:c>
      <x:c r="M101" s="10" t="n">
        <x:v>0</x:v>
      </x:c>
      <x:c r="N101" s="11" t="n">
        <x:v>0</x:v>
      </x:c>
      <x:c r="O101" s="2" t="str">
        <x:v>目标匹配</x:v>
      </x:c>
      <x:c r="P101" s="2" t="str">
        <x:v>completed</x:v>
      </x:c>
      <x:c r="Q101" s="2"/>
      <x:c r="R101" s="2" t="str">
        <x:v>TP,NRM,RA,FLP,AP,Mixture,Others</x:v>
      </x:c>
      <x:c r="S101" s="13" t="n">
        <x:v>1</x:v>
      </x:c>
    </x:row>
    <x:row r="102" ht="23" customHeight="1">
      <x:c r="A102" s="12" t="n">
        <x:v>1</x:v>
      </x:c>
      <x:c r="B102" s="12" t="str">
        <x:v>OR-098</x:v>
      </x:c>
      <x:c r="C102" s="12" t="str">
        <x:v>Mixture</x:v>
      </x:c>
      <x:c r="D102" s="12" t="str">
        <x:v>Others</x:v>
      </x:c>
      <x:c r="E102" s="12" t="str">
        <x:v>Others</x:v>
      </x:c>
      <x:c r="F102" s="12"/>
      <x:c r="G102" s="12" t="n">
        <x:v>1</x:v>
      </x:c>
      <x:c r="H102" s="12" t="n">
        <x:v>0</x:v>
      </x:c>
      <x:c r="I102" s="12" t="n">
        <x:v>1</x:v>
      </x:c>
      <x:c r="J102" s="12" t="n">
        <x:v>1</x:v>
      </x:c>
      <x:c r="K102" s="10" t="n">
        <x:v>0</x:v>
      </x:c>
      <x:c r="L102" s="10" t="n">
        <x:v>0</x:v>
      </x:c>
      <x:c r="M102" s="10" t="n">
        <x:v>0</x:v>
      </x:c>
      <x:c r="N102" s="11"/>
      <x:c r="O102" s="2" t="str">
        <x:v>目标匹配</x:v>
      </x:c>
      <x:c r="P102" s="2" t="str">
        <x:v>completed</x:v>
      </x:c>
      <x:c r="Q102" s="2"/>
      <x:c r="R102" s="2" t="str">
        <x:v>TP,NRM,RA,FLP,AP,Mixture,Others</x:v>
      </x:c>
      <x:c r="S102" s="13" t="n">
        <x:v>1</x:v>
      </x:c>
    </x:row>
    <x:row r="103" ht="23" customHeight="1">
      <x:c r="A103" s="12" t="n">
        <x:v>1</x:v>
      </x:c>
      <x:c r="B103" s="12" t="str">
        <x:v>OR-099</x:v>
      </x:c>
      <x:c r="C103" s="12" t="str">
        <x:v>FLP</x:v>
      </x:c>
      <x:c r="D103" s="12" t="str">
        <x:v>FLP</x:v>
      </x:c>
      <x:c r="E103" s="12" t="str">
        <x:v>FLP</x:v>
      </x:c>
      <x:c r="F103" s="12"/>
      <x:c r="G103" s="12" t="n">
        <x:v>1</x:v>
      </x:c>
      <x:c r="H103" s="12" t="n">
        <x:v>1</x:v>
      </x:c>
      <x:c r="I103" s="12" t="n">
        <x:v>1</x:v>
      </x:c>
      <x:c r="J103" s="12" t="n">
        <x:v>1</x:v>
      </x:c>
      <x:c r="K103" s="10" t="n">
        <x:v>10419</x:v>
      </x:c>
      <x:c r="L103" s="10" t="n">
        <x:v>10419</x:v>
      </x:c>
      <x:c r="M103" s="10" t="n">
        <x:v>0</x:v>
      </x:c>
      <x:c r="N103" s="11" t="n">
        <x:v>0</x:v>
      </x:c>
      <x:c r="O103" s="2" t="str">
        <x:v>目标匹配</x:v>
      </x:c>
      <x:c r="P103" s="2" t="str">
        <x:v>completed</x:v>
      </x:c>
      <x:c r="Q103" s="2"/>
      <x:c r="R103" s="2" t="str">
        <x:v>TP,NRM,RA,FLP,AP,Mixture,Others</x:v>
      </x:c>
      <x:c r="S103" s="13" t="n">
        <x:v>1</x:v>
      </x:c>
    </x:row>
    <x:row r="104" ht="23" customHeight="1">
      <x:c r="A104" s="12" t="n">
        <x:v>1</x:v>
      </x:c>
      <x:c r="B104" s="12" t="str">
        <x:v>OR-100</x:v>
      </x:c>
      <x:c r="C104" s="12" t="str">
        <x:v>Others</x:v>
      </x:c>
      <x:c r="D104" s="12" t="str">
        <x:v>RA</x:v>
      </x:c>
      <x:c r="E104" s="12" t="str">
        <x:v>RA</x:v>
      </x:c>
      <x:c r="F104" s="12"/>
      <x:c r="G104" s="12" t="n">
        <x:v>1</x:v>
      </x:c>
      <x:c r="H104" s="12" t="n">
        <x:v>0</x:v>
      </x:c>
      <x:c r="I104" s="12" t="n">
        <x:v>1</x:v>
      </x:c>
      <x:c r="J104" s="12" t="n">
        <x:v>0</x:v>
      </x:c>
      <x:c r="K104" s="10" t="n">
        <x:v>1382045</x:v>
      </x:c>
      <x:c r="L104" s="10" t="n">
        <x:v>1382200.722</x:v>
      </x:c>
      <x:c r="M104" s="10" t="n">
        <x:v>155.72200000006706</x:v>
      </x:c>
      <x:c r="N104" s="11" t="n">
        <x:v>0.00011266236337566249</x:v>
      </x:c>
      <x:c r="O104" s="2" t="str">
        <x:v>已求解但目标不匹配</x:v>
      </x:c>
      <x:c r="P104" s="2" t="str">
        <x:v>completed</x:v>
      </x:c>
      <x:c r="Q104" s="2"/>
      <x:c r="R104" s="2" t="str">
        <x:v>TP,NRM,RA,FLP,AP,Mixture,Others</x:v>
      </x:c>
      <x:c r="S104" s="13" t="n">
        <x:v>0</x:v>
      </x:c>
    </x:row>
    <x:row r="105" ht="23" customHeight="1">
      <x:c r="A105" s="12" t="n">
        <x:v>1</x:v>
      </x:c>
      <x:c r="B105" s="12" t="str">
        <x:v>OR-101</x:v>
      </x:c>
      <x:c r="C105" s="12" t="str">
        <x:v>Mixture</x:v>
      </x:c>
      <x:c r="D105" s="12" t="str">
        <x:v>RA</x:v>
      </x:c>
      <x:c r="E105" s="12" t="str">
        <x:v>RA</x:v>
      </x:c>
      <x:c r="F105" s="12"/>
      <x:c r="G105" s="12" t="n">
        <x:v>1</x:v>
      </x:c>
      <x:c r="H105" s="12" t="n">
        <x:v>0</x:v>
      </x:c>
      <x:c r="I105" s="12" t="n">
        <x:v>1</x:v>
      </x:c>
      <x:c r="J105" s="12" t="n">
        <x:v>1</x:v>
      </x:c>
      <x:c r="K105" s="10" t="n">
        <x:v>25820.15355597092</x:v>
      </x:c>
      <x:c r="L105" s="10" t="n">
        <x:v>25820.15</x:v>
      </x:c>
      <x:c r="M105" s="10" t="n">
        <x:v>0.003555970917659579</x:v>
      </x:c>
      <x:c r="N105" s="11" t="n">
        <x:v>1.3772076915353237e-7</x:v>
      </x:c>
      <x:c r="O105" s="2" t="str">
        <x:v>目标匹配</x:v>
      </x:c>
      <x:c r="P105" s="2" t="str">
        <x:v>completed</x:v>
      </x:c>
      <x:c r="Q105" s="2"/>
      <x:c r="R105" s="2" t="str">
        <x:v>TP,NRM,RA,FLP,AP,Mixture,Others</x:v>
      </x:c>
      <x:c r="S105" s="13" t="n">
        <x:v>0</x:v>
      </x:c>
    </x:row>
    <x:row r="106" ht="23" customHeight="1">
      <x:c r="A106" s="12" t="n">
        <x:v>2</x:v>
      </x:c>
      <x:c r="B106" s="12" t="str">
        <x:v>OR-001</x:v>
      </x:c>
      <x:c r="C106" s="12" t="str">
        <x:v>TP</x:v>
      </x:c>
      <x:c r="D106" s="12" t="str">
        <x:v>Others</x:v>
      </x:c>
      <x:c r="E106" s="12" t="str">
        <x:v>Others</x:v>
      </x:c>
      <x:c r="F106" s="12" t="str">
        <x:v>TP</x:v>
      </x:c>
      <x:c r="G106" s="12" t="n">
        <x:v>1</x:v>
      </x:c>
      <x:c r="H106" s="12"/>
      <x:c r="I106" s="12" t="n">
        <x:v>1</x:v>
      </x:c>
      <x:c r="J106" s="12" t="n">
        <x:v>1</x:v>
      </x:c>
      <x:c r="K106" s="10" t="n">
        <x:v>172752.82458839755</x:v>
      </x:c>
      <x:c r="L106" s="10" t="n">
        <x:v>172752.8246</x:v>
      </x:c>
      <x:c r="M106" s="10" t="n">
        <x:v>0.000011602445738390088</x:v>
      </x:c>
      <x:c r="N106" s="11" t="n">
        <x:v>6.716211885539317e-11</x:v>
      </x:c>
      <x:c r="O106" s="2" t="str">
        <x:v>目标匹配</x:v>
      </x:c>
      <x:c r="P106" s="2" t="str">
        <x:v>completed</x:v>
      </x:c>
      <x:c r="Q106" s="2"/>
      <x:c r="R106" s="2" t="str">
        <x:v>NRM,RA,FLP,AP,Mixture,Others</x:v>
      </x:c>
      <x:c r="S106" s="13"/>
    </x:row>
    <x:row r="107" ht="23" customHeight="1">
      <x:c r="A107" s="12" t="n">
        <x:v>2</x:v>
      </x:c>
      <x:c r="B107" s="12" t="str">
        <x:v>OR-002</x:v>
      </x:c>
      <x:c r="C107" s="12" t="str">
        <x:v>TP</x:v>
      </x:c>
      <x:c r="D107" s="12" t="str">
        <x:v>RA</x:v>
      </x:c>
      <x:c r="E107" s="12" t="str">
        <x:v>RA</x:v>
      </x:c>
      <x:c r="F107" s="12" t="str">
        <x:v>TP</x:v>
      </x:c>
      <x:c r="G107" s="12" t="n">
        <x:v>1</x:v>
      </x:c>
      <x:c r="H107" s="12"/>
      <x:c r="I107" s="12" t="n">
        <x:v>1</x:v>
      </x:c>
      <x:c r="J107" s="12" t="n">
        <x:v>1</x:v>
      </x:c>
      <x:c r="K107" s="10" t="n">
        <x:v>6464420.6996351</x:v>
      </x:c>
      <x:c r="L107" s="10" t="n">
        <x:v>6464420.7</x:v>
      </x:c>
      <x:c r="M107" s="10" t="n">
        <x:v>0.000364900566637516</x:v>
      </x:c>
      <x:c r="N107" s="11" t="n">
        <x:v>5.6447527716987234e-11</x:v>
      </x:c>
      <x:c r="O107" s="2" t="str">
        <x:v>目标匹配</x:v>
      </x:c>
      <x:c r="P107" s="2" t="str">
        <x:v>completed</x:v>
      </x:c>
      <x:c r="Q107" s="2"/>
      <x:c r="R107" s="2" t="str">
        <x:v>NRM,RA,FLP,AP,Mixture,Others</x:v>
      </x:c>
      <x:c r="S107" s="13"/>
    </x:row>
    <x:row r="108" ht="23" customHeight="1">
      <x:c r="A108" s="12" t="n">
        <x:v>2</x:v>
      </x:c>
      <x:c r="B108" s="12" t="str">
        <x:v>OR-003</x:v>
      </x:c>
      <x:c r="C108" s="12" t="str">
        <x:v>TP</x:v>
      </x:c>
      <x:c r="D108" s="12" t="str">
        <x:v>RA</x:v>
      </x:c>
      <x:c r="E108" s="12" t="str">
        <x:v>RA</x:v>
      </x:c>
      <x:c r="F108" s="12" t="str">
        <x:v>TP</x:v>
      </x:c>
      <x:c r="G108" s="12" t="n">
        <x:v>1</x:v>
      </x:c>
      <x:c r="H108" s="12"/>
      <x:c r="I108" s="12" t="n">
        <x:v>0</x:v>
      </x:c>
      <x:c r="J108" s="12" t="n">
        <x:v>0</x:v>
      </x:c>
      <x:c r="K108" s="10"/>
      <x:c r="L108" s="10" t="n">
        <x:v>36778.51094</x:v>
      </x:c>
      <x:c r="M108" s="10"/>
      <x:c r="N108" s="11"/>
      <x:c r="O108" s="2" t="str">
        <x:v>执行失败</x:v>
      </x:c>
      <x:c r="P108" s="2" t="str">
        <x:v>code_generation</x:v>
      </x:c>
      <x:c r="Q108" s="2" t="str">
        <x:v>ValueError</x:v>
      </x:c>
      <x:c r="R108" s="2" t="str">
        <x:v>NRM,RA,FLP,AP,Mixture,Others</x:v>
      </x:c>
      <x:c r="S108" s="13"/>
    </x:row>
    <x:row r="109" ht="23" customHeight="1">
      <x:c r="A109" s="12" t="n">
        <x:v>2</x:v>
      </x:c>
      <x:c r="B109" s="12" t="str">
        <x:v>OR-004</x:v>
      </x:c>
      <x:c r="C109" s="12" t="str">
        <x:v>TP</x:v>
      </x:c>
      <x:c r="D109" s="12" t="str">
        <x:v>Others</x:v>
      </x:c>
      <x:c r="E109" s="12" t="str">
        <x:v>Others</x:v>
      </x:c>
      <x:c r="F109" s="12" t="str">
        <x:v>TP</x:v>
      </x:c>
      <x:c r="G109" s="12" t="n">
        <x:v>1</x:v>
      </x:c>
      <x:c r="H109" s="12"/>
      <x:c r="I109" s="12" t="n">
        <x:v>1</x:v>
      </x:c>
      <x:c r="J109" s="12" t="n">
        <x:v>1</x:v>
      </x:c>
      <x:c r="K109" s="10" t="n">
        <x:v>913520.1122932937</x:v>
      </x:c>
      <x:c r="L109" s="10" t="n">
        <x:v>913520.1123</x:v>
      </x:c>
      <x:c r="M109" s="10" t="n">
        <x:v>0.000006706337444484234</x:v>
      </x:c>
      <x:c r="N109" s="11" t="n">
        <x:v>7.34120393649513e-12</x:v>
      </x:c>
      <x:c r="O109" s="2" t="str">
        <x:v>目标匹配</x:v>
      </x:c>
      <x:c r="P109" s="2" t="str">
        <x:v>completed</x:v>
      </x:c>
      <x:c r="Q109" s="2"/>
      <x:c r="R109" s="2" t="str">
        <x:v>NRM,RA,FLP,AP,Mixture,Others</x:v>
      </x:c>
      <x:c r="S109" s="13"/>
    </x:row>
    <x:row r="110" ht="23" customHeight="1">
      <x:c r="A110" s="12" t="n">
        <x:v>2</x:v>
      </x:c>
      <x:c r="B110" s="12" t="str">
        <x:v>OR-005</x:v>
      </x:c>
      <x:c r="C110" s="12" t="str">
        <x:v>TP</x:v>
      </x:c>
      <x:c r="D110" s="12" t="str">
        <x:v>Others</x:v>
      </x:c>
      <x:c r="E110" s="12" t="str">
        <x:v>Others</x:v>
      </x:c>
      <x:c r="F110" s="12" t="str">
        <x:v>TP</x:v>
      </x:c>
      <x:c r="G110" s="12" t="n">
        <x:v>1</x:v>
      </x:c>
      <x:c r="H110" s="12"/>
      <x:c r="I110" s="12" t="n">
        <x:v>0</x:v>
      </x:c>
      <x:c r="J110" s="12" t="n">
        <x:v>0</x:v>
      </x:c>
      <x:c r="K110" s="10"/>
      <x:c r="L110" s="10" t="n">
        <x:v>2710.934184</x:v>
      </x:c>
      <x:c r="M110" s="10"/>
      <x:c r="N110" s="11"/>
      <x:c r="O110" s="2" t="str">
        <x:v>执行失败</x:v>
      </x:c>
      <x:c r="P110" s="2" t="str">
        <x:v>solve</x:v>
      </x:c>
      <x:c r="Q110" s="2" t="str">
        <x:v>ValueError</x:v>
      </x:c>
      <x:c r="R110" s="2" t="str">
        <x:v>NRM,RA,FLP,AP,Mixture,Others</x:v>
      </x:c>
      <x:c r="S110" s="13"/>
    </x:row>
    <x:row r="111" ht="23" customHeight="1">
      <x:c r="A111" s="12" t="n">
        <x:v>2</x:v>
      </x:c>
      <x:c r="B111" s="12" t="str">
        <x:v>OR-006</x:v>
      </x:c>
      <x:c r="C111" s="12" t="str">
        <x:v>TP</x:v>
      </x:c>
      <x:c r="D111" s="12" t="str">
        <x:v>RA</x:v>
      </x:c>
      <x:c r="E111" s="12" t="str">
        <x:v>RA</x:v>
      </x:c>
      <x:c r="F111" s="12" t="str">
        <x:v>TP</x:v>
      </x:c>
      <x:c r="G111" s="12" t="n">
        <x:v>1</x:v>
      </x:c>
      <x:c r="H111" s="12"/>
      <x:c r="I111" s="12" t="n">
        <x:v>0</x:v>
      </x:c>
      <x:c r="J111" s="12" t="n">
        <x:v>0</x:v>
      </x:c>
      <x:c r="K111" s="10"/>
      <x:c r="L111" s="10" t="n">
        <x:v>6340.972287</x:v>
      </x:c>
      <x:c r="M111" s="10"/>
      <x:c r="N111" s="11"/>
      <x:c r="O111" s="2" t="str">
        <x:v>执行失败</x:v>
      </x:c>
      <x:c r="P111" s="2" t="str">
        <x:v>code_generation</x:v>
      </x:c>
      <x:c r="Q111" s="2" t="str">
        <x:v>ValueError</x:v>
      </x:c>
      <x:c r="R111" s="2" t="str">
        <x:v>NRM,RA,FLP,AP,Mixture,Others</x:v>
      </x:c>
      <x:c r="S111" s="13"/>
    </x:row>
    <x:row r="112" ht="23" customHeight="1">
      <x:c r="A112" s="12" t="n">
        <x:v>2</x:v>
      </x:c>
      <x:c r="B112" s="12" t="str">
        <x:v>OR-007</x:v>
      </x:c>
      <x:c r="C112" s="12" t="str">
        <x:v>TP</x:v>
      </x:c>
      <x:c r="D112" s="12" t="str">
        <x:v>Others</x:v>
      </x:c>
      <x:c r="E112" s="12" t="str">
        <x:v>Others</x:v>
      </x:c>
      <x:c r="F112" s="12" t="str">
        <x:v>TP</x:v>
      </x:c>
      <x:c r="G112" s="12" t="n">
        <x:v>1</x:v>
      </x:c>
      <x:c r="H112" s="12"/>
      <x:c r="I112" s="12" t="n">
        <x:v>1</x:v>
      </x:c>
      <x:c r="J112" s="12" t="n">
        <x:v>1</x:v>
      </x:c>
      <x:c r="K112" s="10" t="n">
        <x:v>10291.277006657501</x:v>
      </x:c>
      <x:c r="L112" s="10" t="n">
        <x:v>10291.27701</x:v>
      </x:c>
      <x:c r="M112" s="10" t="n">
        <x:v>0.000003342498530400917</x:v>
      </x:c>
      <x:c r="N112" s="11" t="n">
        <x:v>3.247894821170417e-10</x:v>
      </x:c>
      <x:c r="O112" s="2" t="str">
        <x:v>目标匹配</x:v>
      </x:c>
      <x:c r="P112" s="2" t="str">
        <x:v>completed</x:v>
      </x:c>
      <x:c r="Q112" s="2"/>
      <x:c r="R112" s="2" t="str">
        <x:v>NRM,RA,FLP,AP,Mixture,Others</x:v>
      </x:c>
      <x:c r="S112" s="13"/>
    </x:row>
    <x:row r="113" ht="23" customHeight="1">
      <x:c r="A113" s="12" t="n">
        <x:v>2</x:v>
      </x:c>
      <x:c r="B113" s="12" t="str">
        <x:v>OR-008</x:v>
      </x:c>
      <x:c r="C113" s="12" t="str">
        <x:v>TP</x:v>
      </x:c>
      <x:c r="D113" s="12" t="str">
        <x:v>Others</x:v>
      </x:c>
      <x:c r="E113" s="12" t="str">
        <x:v>Others</x:v>
      </x:c>
      <x:c r="F113" s="12" t="str">
        <x:v>TP</x:v>
      </x:c>
      <x:c r="G113" s="12" t="n">
        <x:v>1</x:v>
      </x:c>
      <x:c r="H113" s="12"/>
      <x:c r="I113" s="12" t="n">
        <x:v>1</x:v>
      </x:c>
      <x:c r="J113" s="12" t="n">
        <x:v>1</x:v>
      </x:c>
      <x:c r="K113" s="10" t="n">
        <x:v>660</x:v>
      </x:c>
      <x:c r="L113" s="10" t="n">
        <x:v>660</x:v>
      </x:c>
      <x:c r="M113" s="10" t="n">
        <x:v>0</x:v>
      </x:c>
      <x:c r="N113" s="11" t="n">
        <x:v>0</x:v>
      </x:c>
      <x:c r="O113" s="2" t="str">
        <x:v>目标匹配</x:v>
      </x:c>
      <x:c r="P113" s="2" t="str">
        <x:v>completed</x:v>
      </x:c>
      <x:c r="Q113" s="2"/>
      <x:c r="R113" s="2" t="str">
        <x:v>NRM,RA,FLP,AP,Mixture,Others</x:v>
      </x:c>
      <x:c r="S113" s="13"/>
    </x:row>
    <x:row r="114" ht="23" customHeight="1">
      <x:c r="A114" s="12" t="n">
        <x:v>2</x:v>
      </x:c>
      <x:c r="B114" s="12" t="str">
        <x:v>OR-009</x:v>
      </x:c>
      <x:c r="C114" s="12" t="str">
        <x:v>TP</x:v>
      </x:c>
      <x:c r="D114" s="12" t="str">
        <x:v>Others</x:v>
      </x:c>
      <x:c r="E114" s="12" t="str">
        <x:v>Others</x:v>
      </x:c>
      <x:c r="F114" s="12" t="str">
        <x:v>TP</x:v>
      </x:c>
      <x:c r="G114" s="12" t="n">
        <x:v>1</x:v>
      </x:c>
      <x:c r="H114" s="12"/>
      <x:c r="I114" s="12" t="n">
        <x:v>1</x:v>
      </x:c>
      <x:c r="J114" s="12" t="n">
        <x:v>1</x:v>
      </x:c>
      <x:c r="K114" s="10" t="n">
        <x:v>238781.5119254966</x:v>
      </x:c>
      <x:c r="L114" s="10" t="n">
        <x:v>238781.5119</x:v>
      </x:c>
      <x:c r="M114" s="10" t="n">
        <x:v>0.0000254965852946043</x:v>
      </x:c>
      <x:c r="N114" s="11" t="n">
        <x:v>1.0677788699688814e-10</x:v>
      </x:c>
      <x:c r="O114" s="2" t="str">
        <x:v>目标匹配</x:v>
      </x:c>
      <x:c r="P114" s="2" t="str">
        <x:v>completed</x:v>
      </x:c>
      <x:c r="Q114" s="2"/>
      <x:c r="R114" s="2" t="str">
        <x:v>NRM,RA,FLP,AP,Mixture,Others</x:v>
      </x:c>
      <x:c r="S114" s="13"/>
    </x:row>
    <x:row r="115" ht="23" customHeight="1">
      <x:c r="A115" s="12" t="n">
        <x:v>2</x:v>
      </x:c>
      <x:c r="B115" s="12" t="str">
        <x:v>OR-010</x:v>
      </x:c>
      <x:c r="C115" s="12" t="str">
        <x:v>NRM</x:v>
      </x:c>
      <x:c r="D115" s="12" t="str">
        <x:v>RA</x:v>
      </x:c>
      <x:c r="E115" s="12" t="str">
        <x:v>RA</x:v>
      </x:c>
      <x:c r="F115" s="12" t="str">
        <x:v>NRM</x:v>
      </x:c>
      <x:c r="G115" s="12" t="n">
        <x:v>1</x:v>
      </x:c>
      <x:c r="H115" s="12"/>
      <x:c r="I115" s="12" t="n">
        <x:v>0</x:v>
      </x:c>
      <x:c r="J115" s="12" t="n">
        <x:v>0</x:v>
      </x:c>
      <x:c r="K115" s="10"/>
      <x:c r="L115" s="10" t="n">
        <x:v>4003445.21</x:v>
      </x:c>
      <x:c r="M115" s="10"/>
      <x:c r="N115" s="11"/>
      <x:c r="O115" s="2" t="str">
        <x:v>执行失败</x:v>
      </x:c>
      <x:c r="P115" s="2" t="str">
        <x:v>code_generation</x:v>
      </x:c>
      <x:c r="Q115" s="2" t="str">
        <x:v>ValueError</x:v>
      </x:c>
      <x:c r="R115" s="2" t="str">
        <x:v>TP,RA,FLP,AP,Mixture,Others</x:v>
      </x:c>
      <x:c r="S115" s="13"/>
    </x:row>
    <x:row r="116" ht="23" customHeight="1">
      <x:c r="A116" s="12" t="n">
        <x:v>2</x:v>
      </x:c>
      <x:c r="B116" s="12" t="str">
        <x:v>OR-011</x:v>
      </x:c>
      <x:c r="C116" s="12" t="str">
        <x:v>NRM</x:v>
      </x:c>
      <x:c r="D116" s="12" t="str">
        <x:v>RA</x:v>
      </x:c>
      <x:c r="E116" s="12" t="str">
        <x:v>RA</x:v>
      </x:c>
      <x:c r="F116" s="12" t="str">
        <x:v>NRM</x:v>
      </x:c>
      <x:c r="G116" s="12" t="n">
        <x:v>1</x:v>
      </x:c>
      <x:c r="H116" s="12"/>
      <x:c r="I116" s="12" t="n">
        <x:v>1</x:v>
      </x:c>
      <x:c r="J116" s="12" t="n">
        <x:v>1</x:v>
      </x:c>
      <x:c r="K116" s="10" t="n">
        <x:v>3552260.54</x:v>
      </x:c>
      <x:c r="L116" s="10" t="n">
        <x:v>3552260.54</x:v>
      </x:c>
      <x:c r="M116" s="10" t="n">
        <x:v>0</x:v>
      </x:c>
      <x:c r="N116" s="11" t="n">
        <x:v>0</x:v>
      </x:c>
      <x:c r="O116" s="2" t="str">
        <x:v>目标匹配</x:v>
      </x:c>
      <x:c r="P116" s="2" t="str">
        <x:v>completed</x:v>
      </x:c>
      <x:c r="Q116" s="2"/>
      <x:c r="R116" s="2" t="str">
        <x:v>TP,RA,FLP,AP,Mixture,Others</x:v>
      </x:c>
      <x:c r="S116" s="13"/>
    </x:row>
    <x:row r="117" ht="23" customHeight="1">
      <x:c r="A117" s="12" t="n">
        <x:v>2</x:v>
      </x:c>
      <x:c r="B117" s="12" t="str">
        <x:v>OR-012</x:v>
      </x:c>
      <x:c r="C117" s="12" t="str">
        <x:v>NRM</x:v>
      </x:c>
      <x:c r="D117" s="12" t="str">
        <x:v>RA</x:v>
      </x:c>
      <x:c r="E117" s="12" t="str">
        <x:v>RA</x:v>
      </x:c>
      <x:c r="F117" s="12" t="str">
        <x:v>NRM</x:v>
      </x:c>
      <x:c r="G117" s="12" t="n">
        <x:v>1</x:v>
      </x:c>
      <x:c r="H117" s="12"/>
      <x:c r="I117" s="12" t="n">
        <x:v>1</x:v>
      </x:c>
      <x:c r="J117" s="12" t="n">
        <x:v>1</x:v>
      </x:c>
      <x:c r="K117" s="10" t="n">
        <x:v>83748.37000000001</x:v>
      </x:c>
      <x:c r="L117" s="10" t="n">
        <x:v>83748.37</x:v>
      </x:c>
      <x:c r="M117" s="10" t="n">
        <x:v>1.4551915228366852e-11</x:v>
      </x:c>
      <x:c r="N117" s="11" t="n">
        <x:v>1.7375759347157268e-16</x:v>
      </x:c>
      <x:c r="O117" s="2" t="str">
        <x:v>目标匹配</x:v>
      </x:c>
      <x:c r="P117" s="2" t="str">
        <x:v>completed</x:v>
      </x:c>
      <x:c r="Q117" s="2"/>
      <x:c r="R117" s="2" t="str">
        <x:v>TP,RA,FLP,AP,Mixture,Others</x:v>
      </x:c>
      <x:c r="S117" s="13"/>
    </x:row>
    <x:row r="118" ht="23" customHeight="1">
      <x:c r="A118" s="12" t="n">
        <x:v>2</x:v>
      </x:c>
      <x:c r="B118" s="12" t="str">
        <x:v>OR-013</x:v>
      </x:c>
      <x:c r="C118" s="12" t="str">
        <x:v>NRM</x:v>
      </x:c>
      <x:c r="D118" s="12" t="str">
        <x:v>RA</x:v>
      </x:c>
      <x:c r="E118" s="12" t="str">
        <x:v>RA</x:v>
      </x:c>
      <x:c r="F118" s="12" t="str">
        <x:v>NRM</x:v>
      </x:c>
      <x:c r="G118" s="12" t="n">
        <x:v>1</x:v>
      </x:c>
      <x:c r="H118" s="12"/>
      <x:c r="I118" s="12" t="n">
        <x:v>0</x:v>
      </x:c>
      <x:c r="J118" s="12" t="n">
        <x:v>0</x:v>
      </x:c>
      <x:c r="K118" s="10"/>
      <x:c r="L118" s="10" t="n">
        <x:v>532.3</x:v>
      </x:c>
      <x:c r="M118" s="10"/>
      <x:c r="N118" s="11"/>
      <x:c r="O118" s="2" t="str">
        <x:v>执行失败</x:v>
      </x:c>
      <x:c r="P118" s="2" t="str">
        <x:v>formulation</x:v>
      </x:c>
      <x:c r="Q118" s="2" t="str">
        <x:v>BadRequestError</x:v>
      </x:c>
      <x:c r="R118" s="2" t="str">
        <x:v>TP,RA,FLP,AP,Mixture,Others</x:v>
      </x:c>
      <x:c r="S118" s="13"/>
    </x:row>
    <x:row r="119" ht="23" customHeight="1">
      <x:c r="A119" s="12" t="n">
        <x:v>2</x:v>
      </x:c>
      <x:c r="B119" s="12" t="str">
        <x:v>OR-014</x:v>
      </x:c>
      <x:c r="C119" s="12" t="str">
        <x:v>NRM</x:v>
      </x:c>
      <x:c r="D119" s="12" t="str">
        <x:v>RA</x:v>
      </x:c>
      <x:c r="E119" s="12" t="str">
        <x:v>RA</x:v>
      </x:c>
      <x:c r="F119" s="12" t="str">
        <x:v>NRM</x:v>
      </x:c>
      <x:c r="G119" s="12" t="n">
        <x:v>1</x:v>
      </x:c>
      <x:c r="H119" s="12"/>
      <x:c r="I119" s="12" t="n">
        <x:v>0</x:v>
      </x:c>
      <x:c r="J119" s="12" t="n">
        <x:v>0</x:v>
      </x:c>
      <x:c r="K119" s="10"/>
      <x:c r="L119" s="10" t="n">
        <x:v>1794269</x:v>
      </x:c>
      <x:c r="M119" s="10"/>
      <x:c r="N119" s="11"/>
      <x:c r="O119" s="2" t="str">
        <x:v>执行失败</x:v>
      </x:c>
      <x:c r="P119" s="2" t="str">
        <x:v>code_generation</x:v>
      </x:c>
      <x:c r="Q119" s="2" t="str">
        <x:v>ValueError</x:v>
      </x:c>
      <x:c r="R119" s="2" t="str">
        <x:v>TP,RA,FLP,AP,Mixture,Others</x:v>
      </x:c>
      <x:c r="S119" s="13"/>
    </x:row>
    <x:row r="120" ht="23" customHeight="1">
      <x:c r="A120" s="12" t="n">
        <x:v>2</x:v>
      </x:c>
      <x:c r="B120" s="12" t="str">
        <x:v>OR-015</x:v>
      </x:c>
      <x:c r="C120" s="12" t="str">
        <x:v>NRM</x:v>
      </x:c>
      <x:c r="D120" s="12" t="str">
        <x:v>RA</x:v>
      </x:c>
      <x:c r="E120" s="12" t="str">
        <x:v>RA</x:v>
      </x:c>
      <x:c r="F120" s="12" t="str">
        <x:v>NRM</x:v>
      </x:c>
      <x:c r="G120" s="12" t="n">
        <x:v>1</x:v>
      </x:c>
      <x:c r="H120" s="12"/>
      <x:c r="I120" s="12" t="n">
        <x:v>1</x:v>
      </x:c>
      <x:c r="J120" s="12" t="n">
        <x:v>1</x:v>
      </x:c>
      <x:c r="K120" s="10" t="n">
        <x:v>29660</x:v>
      </x:c>
      <x:c r="L120" s="10" t="n">
        <x:v>29660</x:v>
      </x:c>
      <x:c r="M120" s="10" t="n">
        <x:v>0</x:v>
      </x:c>
      <x:c r="N120" s="11" t="n">
        <x:v>0</x:v>
      </x:c>
      <x:c r="O120" s="2" t="str">
        <x:v>目标匹配</x:v>
      </x:c>
      <x:c r="P120" s="2" t="str">
        <x:v>completed</x:v>
      </x:c>
      <x:c r="Q120" s="2"/>
      <x:c r="R120" s="2" t="str">
        <x:v>TP,RA,FLP,AP,Mixture,Others</x:v>
      </x:c>
      <x:c r="S120" s="13"/>
    </x:row>
    <x:row r="121" ht="23" customHeight="1">
      <x:c r="A121" s="12" t="n">
        <x:v>2</x:v>
      </x:c>
      <x:c r="B121" s="12" t="str">
        <x:v>OR-016</x:v>
      </x:c>
      <x:c r="C121" s="12" t="str">
        <x:v>NRM</x:v>
      </x:c>
      <x:c r="D121" s="12" t="str">
        <x:v>RA</x:v>
      </x:c>
      <x:c r="E121" s="12" t="str">
        <x:v>RA</x:v>
      </x:c>
      <x:c r="F121" s="12" t="str">
        <x:v>NRM</x:v>
      </x:c>
      <x:c r="G121" s="12" t="n">
        <x:v>1</x:v>
      </x:c>
      <x:c r="H121" s="12"/>
      <x:c r="I121" s="12" t="n">
        <x:v>1</x:v>
      </x:c>
      <x:c r="J121" s="12" t="n">
        <x:v>1</x:v>
      </x:c>
      <x:c r="K121" s="10" t="n">
        <x:v>1568955</x:v>
      </x:c>
      <x:c r="L121" s="10" t="n">
        <x:v>1568955</x:v>
      </x:c>
      <x:c r="M121" s="10" t="n">
        <x:v>0</x:v>
      </x:c>
      <x:c r="N121" s="11" t="n">
        <x:v>0</x:v>
      </x:c>
      <x:c r="O121" s="2" t="str">
        <x:v>目标匹配</x:v>
      </x:c>
      <x:c r="P121" s="2" t="str">
        <x:v>completed</x:v>
      </x:c>
      <x:c r="Q121" s="2"/>
      <x:c r="R121" s="2" t="str">
        <x:v>TP,RA,FLP,AP,Mixture,Others</x:v>
      </x:c>
      <x:c r="S121" s="13"/>
    </x:row>
    <x:row r="122" ht="23" customHeight="1">
      <x:c r="A122" s="12" t="n">
        <x:v>2</x:v>
      </x:c>
      <x:c r="B122" s="12" t="str">
        <x:v>OR-017</x:v>
      </x:c>
      <x:c r="C122" s="12" t="str">
        <x:v>NRM</x:v>
      </x:c>
      <x:c r="D122" s="12" t="str">
        <x:v>RA</x:v>
      </x:c>
      <x:c r="E122" s="12" t="str">
        <x:v>RA</x:v>
      </x:c>
      <x:c r="F122" s="12" t="str">
        <x:v>NRM</x:v>
      </x:c>
      <x:c r="G122" s="12" t="n">
        <x:v>1</x:v>
      </x:c>
      <x:c r="H122" s="12"/>
      <x:c r="I122" s="12" t="n">
        <x:v>1</x:v>
      </x:c>
      <x:c r="J122" s="12" t="n">
        <x:v>1</x:v>
      </x:c>
      <x:c r="K122" s="10" t="n">
        <x:v>2015.08</x:v>
      </x:c>
      <x:c r="L122" s="10" t="n">
        <x:v>2015.08</x:v>
      </x:c>
      <x:c r="M122" s="10" t="n">
        <x:v>0</x:v>
      </x:c>
      <x:c r="N122" s="11" t="n">
        <x:v>0</x:v>
      </x:c>
      <x:c r="O122" s="2" t="str">
        <x:v>目标匹配</x:v>
      </x:c>
      <x:c r="P122" s="2" t="str">
        <x:v>completed</x:v>
      </x:c>
      <x:c r="Q122" s="2"/>
      <x:c r="R122" s="2" t="str">
        <x:v>TP,RA,FLP,AP,Mixture,Others</x:v>
      </x:c>
      <x:c r="S122" s="13"/>
    </x:row>
    <x:row r="123" ht="23" customHeight="1">
      <x:c r="A123" s="12" t="n">
        <x:v>2</x:v>
      </x:c>
      <x:c r="B123" s="12" t="str">
        <x:v>OR-018</x:v>
      </x:c>
      <x:c r="C123" s="12" t="str">
        <x:v>NRM</x:v>
      </x:c>
      <x:c r="D123" s="12" t="str">
        <x:v>RA</x:v>
      </x:c>
      <x:c r="E123" s="12" t="str">
        <x:v>RA</x:v>
      </x:c>
      <x:c r="F123" s="12" t="str">
        <x:v>NRM</x:v>
      </x:c>
      <x:c r="G123" s="12" t="n">
        <x:v>1</x:v>
      </x:c>
      <x:c r="H123" s="12"/>
      <x:c r="I123" s="12" t="n">
        <x:v>1</x:v>
      </x:c>
      <x:c r="J123" s="12" t="n">
        <x:v>1</x:v>
      </x:c>
      <x:c r="K123" s="10" t="n">
        <x:v>782819438.64</x:v>
      </x:c>
      <x:c r="L123" s="10" t="n">
        <x:v>782819438.6</x:v>
      </x:c>
      <x:c r="M123" s="10" t="n">
        <x:v>0.039999961853027344</x:v>
      </x:c>
      <x:c r="N123" s="11" t="n">
        <x:v>5.109730275038081e-11</x:v>
      </x:c>
      <x:c r="O123" s="2" t="str">
        <x:v>目标匹配</x:v>
      </x:c>
      <x:c r="P123" s="2" t="str">
        <x:v>completed</x:v>
      </x:c>
      <x:c r="Q123" s="2"/>
      <x:c r="R123" s="2" t="str">
        <x:v>TP,RA,FLP,AP,Mixture,Others</x:v>
      </x:c>
      <x:c r="S123" s="13"/>
    </x:row>
    <x:row r="124" ht="23" customHeight="1">
      <x:c r="A124" s="12" t="n">
        <x:v>2</x:v>
      </x:c>
      <x:c r="B124" s="12" t="str">
        <x:v>OR-019</x:v>
      </x:c>
      <x:c r="C124" s="12" t="str">
        <x:v>NRM</x:v>
      </x:c>
      <x:c r="D124" s="12" t="str">
        <x:v>RA</x:v>
      </x:c>
      <x:c r="E124" s="12" t="str">
        <x:v>RA</x:v>
      </x:c>
      <x:c r="F124" s="12" t="str">
        <x:v>NRM</x:v>
      </x:c>
      <x:c r="G124" s="12" t="n">
        <x:v>1</x:v>
      </x:c>
      <x:c r="H124" s="12"/>
      <x:c r="I124" s="12" t="n">
        <x:v>1</x:v>
      </x:c>
      <x:c r="J124" s="12" t="n">
        <x:v>1</x:v>
      </x:c>
      <x:c r="K124" s="10" t="n">
        <x:v>7123134.6899999995</x:v>
      </x:c>
      <x:c r="L124" s="10" t="n">
        <x:v>7123134.69</x:v>
      </x:c>
      <x:c r="M124" s="10" t="n">
        <x:v>9.313225746154785e-10</x:v>
      </x:c>
      <x:c r="N124" s="11" t="n">
        <x:v>1.3074616936879492e-16</x:v>
      </x:c>
      <x:c r="O124" s="2" t="str">
        <x:v>目标匹配</x:v>
      </x:c>
      <x:c r="P124" s="2" t="str">
        <x:v>completed</x:v>
      </x:c>
      <x:c r="Q124" s="2"/>
      <x:c r="R124" s="2" t="str">
        <x:v>TP,RA,FLP,AP,Mixture,Others</x:v>
      </x:c>
      <x:c r="S124" s="13"/>
    </x:row>
    <x:row r="125" ht="23" customHeight="1">
      <x:c r="A125" s="12" t="n">
        <x:v>2</x:v>
      </x:c>
      <x:c r="B125" s="12" t="str">
        <x:v>OR-020</x:v>
      </x:c>
      <x:c r="C125" s="12" t="str">
        <x:v>NRM</x:v>
      </x:c>
      <x:c r="D125" s="12" t="str">
        <x:v>RA</x:v>
      </x:c>
      <x:c r="E125" s="12" t="str">
        <x:v>RA</x:v>
      </x:c>
      <x:c r="F125" s="12" t="str">
        <x:v>NRM</x:v>
      </x:c>
      <x:c r="G125" s="12" t="n">
        <x:v>1</x:v>
      </x:c>
      <x:c r="H125" s="12"/>
      <x:c r="I125" s="12" t="n">
        <x:v>1</x:v>
      </x:c>
      <x:c r="J125" s="12" t="n">
        <x:v>1</x:v>
      </x:c>
      <x:c r="K125" s="10" t="n">
        <x:v>11258129.67</x:v>
      </x:c>
      <x:c r="L125" s="10" t="n">
        <x:v>11258129.67</x:v>
      </x:c>
      <x:c r="M125" s="10" t="n">
        <x:v>0</x:v>
      </x:c>
      <x:c r="N125" s="11" t="n">
        <x:v>0</x:v>
      </x:c>
      <x:c r="O125" s="2" t="str">
        <x:v>目标匹配</x:v>
      </x:c>
      <x:c r="P125" s="2" t="str">
        <x:v>completed</x:v>
      </x:c>
      <x:c r="Q125" s="2"/>
      <x:c r="R125" s="2" t="str">
        <x:v>TP,RA,FLP,AP,Mixture,Others</x:v>
      </x:c>
      <x:c r="S125" s="13"/>
    </x:row>
    <x:row r="126" ht="23" customHeight="1">
      <x:c r="A126" s="12" t="n">
        <x:v>2</x:v>
      </x:c>
      <x:c r="B126" s="12" t="str">
        <x:v>OR-021</x:v>
      </x:c>
      <x:c r="C126" s="12" t="str">
        <x:v>NRM</x:v>
      </x:c>
      <x:c r="D126" s="12" t="str">
        <x:v>RA</x:v>
      </x:c>
      <x:c r="E126" s="12" t="str">
        <x:v>RA</x:v>
      </x:c>
      <x:c r="F126" s="12" t="str">
        <x:v>NRM</x:v>
      </x:c>
      <x:c r="G126" s="12" t="n">
        <x:v>1</x:v>
      </x:c>
      <x:c r="H126" s="12"/>
      <x:c r="I126" s="12" t="n">
        <x:v>0</x:v>
      </x:c>
      <x:c r="J126" s="12" t="n">
        <x:v>0</x:v>
      </x:c>
      <x:c r="K126" s="10"/>
      <x:c r="L126" s="10" t="n">
        <x:v>6020981.48</x:v>
      </x:c>
      <x:c r="M126" s="10"/>
      <x:c r="N126" s="11"/>
      <x:c r="O126" s="2" t="str">
        <x:v>执行失败</x:v>
      </x:c>
      <x:c r="P126" s="2" t="str">
        <x:v>code_generation</x:v>
      </x:c>
      <x:c r="Q126" s="2" t="str">
        <x:v>ValueError</x:v>
      </x:c>
      <x:c r="R126" s="2" t="str">
        <x:v>TP,RA,FLP,AP,Mixture,Others</x:v>
      </x:c>
      <x:c r="S126" s="13"/>
    </x:row>
    <x:row r="127" ht="23" customHeight="1">
      <x:c r="A127" s="12" t="n">
        <x:v>2</x:v>
      </x:c>
      <x:c r="B127" s="12" t="str">
        <x:v>OR-022</x:v>
      </x:c>
      <x:c r="C127" s="12" t="str">
        <x:v>NRM</x:v>
      </x:c>
      <x:c r="D127" s="12" t="str">
        <x:v>RA</x:v>
      </x:c>
      <x:c r="E127" s="12" t="str">
        <x:v>RA</x:v>
      </x:c>
      <x:c r="F127" s="12" t="str">
        <x:v>NRM</x:v>
      </x:c>
      <x:c r="G127" s="12" t="n">
        <x:v>1</x:v>
      </x:c>
      <x:c r="H127" s="12"/>
      <x:c r="I127" s="12" t="n">
        <x:v>1</x:v>
      </x:c>
      <x:c r="J127" s="12" t="n">
        <x:v>1</x:v>
      </x:c>
      <x:c r="K127" s="10" t="n">
        <x:v>4049812.4247</x:v>
      </x:c>
      <x:c r="L127" s="10" t="n">
        <x:v>4049812.425</x:v>
      </x:c>
      <x:c r="M127" s="10" t="n">
        <x:v>0.0002999999560415745</x:v>
      </x:c>
      <x:c r="N127" s="11" t="n">
        <x:v>7.40774941055633e-11</x:v>
      </x:c>
      <x:c r="O127" s="2" t="str">
        <x:v>目标匹配</x:v>
      </x:c>
      <x:c r="P127" s="2" t="str">
        <x:v>completed</x:v>
      </x:c>
      <x:c r="Q127" s="2"/>
      <x:c r="R127" s="2" t="str">
        <x:v>TP,RA,FLP,AP,Mixture,Others</x:v>
      </x:c>
      <x:c r="S127" s="13"/>
    </x:row>
    <x:row r="128" ht="23" customHeight="1">
      <x:c r="A128" s="12" t="n">
        <x:v>2</x:v>
      </x:c>
      <x:c r="B128" s="12" t="str">
        <x:v>OR-023</x:v>
      </x:c>
      <x:c r="C128" s="12" t="str">
        <x:v>NRM</x:v>
      </x:c>
      <x:c r="D128" s="12" t="str">
        <x:v>RA</x:v>
      </x:c>
      <x:c r="E128" s="12" t="str">
        <x:v>RA</x:v>
      </x:c>
      <x:c r="F128" s="12" t="str">
        <x:v>NRM</x:v>
      </x:c>
      <x:c r="G128" s="12" t="n">
        <x:v>1</x:v>
      </x:c>
      <x:c r="H128" s="12"/>
      <x:c r="I128" s="12" t="n">
        <x:v>1</x:v>
      </x:c>
      <x:c r="J128" s="12" t="n">
        <x:v>0</x:v>
      </x:c>
      <x:c r="K128" s="10" t="n">
        <x:v>61648</x:v>
      </x:c>
      <x:c r="L128" s="10" t="n">
        <x:v>63628</x:v>
      </x:c>
      <x:c r="M128" s="10" t="n">
        <x:v>1980</x:v>
      </x:c>
      <x:c r="N128" s="11" t="n">
        <x:v>0.03111837555793047</x:v>
      </x:c>
      <x:c r="O128" s="2" t="str">
        <x:v>已求解但目标不匹配</x:v>
      </x:c>
      <x:c r="P128" s="2" t="str">
        <x:v>completed</x:v>
      </x:c>
      <x:c r="Q128" s="2"/>
      <x:c r="R128" s="2" t="str">
        <x:v>TP,RA,FLP,AP,Mixture,Others</x:v>
      </x:c>
      <x:c r="S128" s="13"/>
    </x:row>
    <x:row r="129" ht="23" customHeight="1">
      <x:c r="A129" s="12" t="n">
        <x:v>2</x:v>
      </x:c>
      <x:c r="B129" s="12" t="str">
        <x:v>OR-024</x:v>
      </x:c>
      <x:c r="C129" s="12" t="str">
        <x:v>NRM</x:v>
      </x:c>
      <x:c r="D129" s="12" t="str">
        <x:v>RA</x:v>
      </x:c>
      <x:c r="E129" s="12" t="str">
        <x:v>RA</x:v>
      </x:c>
      <x:c r="F129" s="12" t="str">
        <x:v>NRM</x:v>
      </x:c>
      <x:c r="G129" s="12" t="n">
        <x:v>1</x:v>
      </x:c>
      <x:c r="H129" s="12"/>
      <x:c r="I129" s="12" t="n">
        <x:v>1</x:v>
      </x:c>
      <x:c r="J129" s="12" t="n">
        <x:v>1</x:v>
      </x:c>
      <x:c r="K129" s="10" t="n">
        <x:v>1264095.5</x:v>
      </x:c>
      <x:c r="L129" s="10" t="n">
        <x:v>1264095.5</x:v>
      </x:c>
      <x:c r="M129" s="10" t="n">
        <x:v>0</x:v>
      </x:c>
      <x:c r="N129" s="11" t="n">
        <x:v>0</x:v>
      </x:c>
      <x:c r="O129" s="2" t="str">
        <x:v>目标匹配</x:v>
      </x:c>
      <x:c r="P129" s="2" t="str">
        <x:v>completed</x:v>
      </x:c>
      <x:c r="Q129" s="2"/>
      <x:c r="R129" s="2" t="str">
        <x:v>TP,RA,FLP,AP,Mixture,Others</x:v>
      </x:c>
      <x:c r="S129" s="13"/>
    </x:row>
    <x:row r="130" ht="23" customHeight="1">
      <x:c r="A130" s="12" t="n">
        <x:v>2</x:v>
      </x:c>
      <x:c r="B130" s="12" t="str">
        <x:v>OR-025</x:v>
      </x:c>
      <x:c r="C130" s="12" t="str">
        <x:v>NRM</x:v>
      </x:c>
      <x:c r="D130" s="12" t="str">
        <x:v>RA</x:v>
      </x:c>
      <x:c r="E130" s="12" t="str">
        <x:v>RA</x:v>
      </x:c>
      <x:c r="F130" s="12" t="str">
        <x:v>NRM</x:v>
      </x:c>
      <x:c r="G130" s="12" t="n">
        <x:v>1</x:v>
      </x:c>
      <x:c r="H130" s="12"/>
      <x:c r="I130" s="12" t="n">
        <x:v>1</x:v>
      </x:c>
      <x:c r="J130" s="12" t="n">
        <x:v>1</x:v>
      </x:c>
      <x:c r="K130" s="10" t="n">
        <x:v>5486959.829999999</x:v>
      </x:c>
      <x:c r="L130" s="10" t="n">
        <x:v>5486959.83</x:v>
      </x:c>
      <x:c r="M130" s="10" t="n">
        <x:v>9.313225746154785e-10</x:v>
      </x:c>
      <x:c r="N130" s="11" t="n">
        <x:v>1.6973380587250965e-16</x:v>
      </x:c>
      <x:c r="O130" s="2" t="str">
        <x:v>目标匹配</x:v>
      </x:c>
      <x:c r="P130" s="2" t="str">
        <x:v>completed</x:v>
      </x:c>
      <x:c r="Q130" s="2"/>
      <x:c r="R130" s="2" t="str">
        <x:v>TP,RA,FLP,AP,Mixture,Others</x:v>
      </x:c>
      <x:c r="S130" s="13"/>
    </x:row>
    <x:row r="131" ht="23" customHeight="1">
      <x:c r="A131" s="12" t="n">
        <x:v>2</x:v>
      </x:c>
      <x:c r="B131" s="12" t="str">
        <x:v>OR-026</x:v>
      </x:c>
      <x:c r="C131" s="12" t="str">
        <x:v>NRM</x:v>
      </x:c>
      <x:c r="D131" s="12" t="str">
        <x:v>RA</x:v>
      </x:c>
      <x:c r="E131" s="12" t="str">
        <x:v>RA</x:v>
      </x:c>
      <x:c r="F131" s="12" t="str">
        <x:v>NRM</x:v>
      </x:c>
      <x:c r="G131" s="12" t="n">
        <x:v>1</x:v>
      </x:c>
      <x:c r="H131" s="12"/>
      <x:c r="I131" s="12" t="n">
        <x:v>1</x:v>
      </x:c>
      <x:c r="J131" s="12" t="n">
        <x:v>1</x:v>
      </x:c>
      <x:c r="K131" s="10" t="n">
        <x:v>8851.75</x:v>
      </x:c>
      <x:c r="L131" s="10" t="n">
        <x:v>8851.75</x:v>
      </x:c>
      <x:c r="M131" s="10" t="n">
        <x:v>0</x:v>
      </x:c>
      <x:c r="N131" s="11" t="n">
        <x:v>0</x:v>
      </x:c>
      <x:c r="O131" s="2" t="str">
        <x:v>目标匹配</x:v>
      </x:c>
      <x:c r="P131" s="2" t="str">
        <x:v>completed</x:v>
      </x:c>
      <x:c r="Q131" s="2"/>
      <x:c r="R131" s="2" t="str">
        <x:v>TP,RA,FLP,AP,Mixture,Others</x:v>
      </x:c>
      <x:c r="S131" s="13"/>
    </x:row>
    <x:row r="132" ht="23" customHeight="1">
      <x:c r="A132" s="12" t="n">
        <x:v>2</x:v>
      </x:c>
      <x:c r="B132" s="12" t="str">
        <x:v>OR-027</x:v>
      </x:c>
      <x:c r="C132" s="12" t="str">
        <x:v>NRM</x:v>
      </x:c>
      <x:c r="D132" s="12" t="str">
        <x:v>RA</x:v>
      </x:c>
      <x:c r="E132" s="12" t="str">
        <x:v>RA</x:v>
      </x:c>
      <x:c r="F132" s="12" t="str">
        <x:v>NRM</x:v>
      </x:c>
      <x:c r="G132" s="12" t="n">
        <x:v>1</x:v>
      </x:c>
      <x:c r="H132" s="12"/>
      <x:c r="I132" s="12" t="n">
        <x:v>1</x:v>
      </x:c>
      <x:c r="J132" s="12" t="n">
        <x:v>1</x:v>
      </x:c>
      <x:c r="K132" s="10" t="n">
        <x:v>784297054.11</x:v>
      </x:c>
      <x:c r="L132" s="10" t="n">
        <x:v>784297054.1</x:v>
      </x:c>
      <x:c r="M132" s="10" t="n">
        <x:v>0.009999990463256836</x:v>
      </x:c>
      <x:c r="N132" s="11" t="n">
        <x:v>1.2750258860441684e-11</x:v>
      </x:c>
      <x:c r="O132" s="2" t="str">
        <x:v>目标匹配</x:v>
      </x:c>
      <x:c r="P132" s="2" t="str">
        <x:v>completed</x:v>
      </x:c>
      <x:c r="Q132" s="2"/>
      <x:c r="R132" s="2" t="str">
        <x:v>TP,RA,FLP,AP,Mixture,Others</x:v>
      </x:c>
      <x:c r="S132" s="13"/>
    </x:row>
    <x:row r="133" ht="23" customHeight="1">
      <x:c r="A133" s="12" t="n">
        <x:v>2</x:v>
      </x:c>
      <x:c r="B133" s="12" t="str">
        <x:v>OR-028</x:v>
      </x:c>
      <x:c r="C133" s="12" t="str">
        <x:v>NRM</x:v>
      </x:c>
      <x:c r="D133" s="12" t="str">
        <x:v>RA</x:v>
      </x:c>
      <x:c r="E133" s="12" t="str">
        <x:v>RA</x:v>
      </x:c>
      <x:c r="F133" s="12" t="str">
        <x:v>NRM</x:v>
      </x:c>
      <x:c r="G133" s="12" t="n">
        <x:v>1</x:v>
      </x:c>
      <x:c r="H133" s="12"/>
      <x:c r="I133" s="12" t="n">
        <x:v>1</x:v>
      </x:c>
      <x:c r="J133" s="12" t="n">
        <x:v>1</x:v>
      </x:c>
      <x:c r="K133" s="10" t="n">
        <x:v>285816</x:v>
      </x:c>
      <x:c r="L133" s="10" t="n">
        <x:v>285816</x:v>
      </x:c>
      <x:c r="M133" s="10" t="n">
        <x:v>0</x:v>
      </x:c>
      <x:c r="N133" s="11" t="n">
        <x:v>0</x:v>
      </x:c>
      <x:c r="O133" s="2" t="str">
        <x:v>目标匹配</x:v>
      </x:c>
      <x:c r="P133" s="2" t="str">
        <x:v>completed</x:v>
      </x:c>
      <x:c r="Q133" s="2"/>
      <x:c r="R133" s="2" t="str">
        <x:v>TP,RA,FLP,AP,Mixture,Others</x:v>
      </x:c>
      <x:c r="S133" s="13"/>
    </x:row>
    <x:row r="134" ht="23" customHeight="1">
      <x:c r="A134" s="12" t="n">
        <x:v>2</x:v>
      </x:c>
      <x:c r="B134" s="12" t="str">
        <x:v>OR-029</x:v>
      </x:c>
      <x:c r="C134" s="12" t="str">
        <x:v>NRM</x:v>
      </x:c>
      <x:c r="D134" s="12" t="str">
        <x:v>RA</x:v>
      </x:c>
      <x:c r="E134" s="12" t="str">
        <x:v>RA</x:v>
      </x:c>
      <x:c r="F134" s="12" t="str">
        <x:v>NRM</x:v>
      </x:c>
      <x:c r="G134" s="12" t="n">
        <x:v>1</x:v>
      </x:c>
      <x:c r="H134" s="12"/>
      <x:c r="I134" s="12" t="n">
        <x:v>1</x:v>
      </x:c>
      <x:c r="J134" s="12" t="n">
        <x:v>1</x:v>
      </x:c>
      <x:c r="K134" s="10" t="n">
        <x:v>5090631.58</x:v>
      </x:c>
      <x:c r="L134" s="10" t="n">
        <x:v>5090631.58</x:v>
      </x:c>
      <x:c r="M134" s="10" t="n">
        <x:v>0</x:v>
      </x:c>
      <x:c r="N134" s="11" t="n">
        <x:v>0</x:v>
      </x:c>
      <x:c r="O134" s="2" t="str">
        <x:v>目标匹配</x:v>
      </x:c>
      <x:c r="P134" s="2" t="str">
        <x:v>completed</x:v>
      </x:c>
      <x:c r="Q134" s="2"/>
      <x:c r="R134" s="2" t="str">
        <x:v>TP,RA,FLP,AP,Mixture,Others</x:v>
      </x:c>
      <x:c r="S134" s="13"/>
    </x:row>
    <x:row r="135" ht="23" customHeight="1">
      <x:c r="A135" s="12" t="n">
        <x:v>2</x:v>
      </x:c>
      <x:c r="B135" s="12" t="str">
        <x:v>OR-030</x:v>
      </x:c>
      <x:c r="C135" s="12" t="str">
        <x:v>NRM</x:v>
      </x:c>
      <x:c r="D135" s="12" t="str">
        <x:v>RA</x:v>
      </x:c>
      <x:c r="E135" s="12" t="str">
        <x:v>RA</x:v>
      </x:c>
      <x:c r="F135" s="12" t="str">
        <x:v>NRM</x:v>
      </x:c>
      <x:c r="G135" s="12" t="n">
        <x:v>1</x:v>
      </x:c>
      <x:c r="H135" s="12"/>
      <x:c r="I135" s="12" t="n">
        <x:v>1</x:v>
      </x:c>
      <x:c r="J135" s="12" t="n">
        <x:v>0</x:v>
      </x:c>
      <x:c r="K135" s="10" t="n">
        <x:v>14347.28</x:v>
      </x:c>
      <x:c r="L135" s="10" t="n">
        <x:v>34856.76</x:v>
      </x:c>
      <x:c r="M135" s="10" t="n">
        <x:v>20509.480000000003</x:v>
      </x:c>
      <x:c r="N135" s="11" t="n">
        <x:v>0.5883931839907095</x:v>
      </x:c>
      <x:c r="O135" s="2" t="str">
        <x:v>已求解但目标不匹配</x:v>
      </x:c>
      <x:c r="P135" s="2" t="str">
        <x:v>completed</x:v>
      </x:c>
      <x:c r="Q135" s="2"/>
      <x:c r="R135" s="2" t="str">
        <x:v>TP,RA,FLP,AP,Mixture,Others</x:v>
      </x:c>
      <x:c r="S135" s="13"/>
    </x:row>
    <x:row r="136" ht="23" customHeight="1">
      <x:c r="A136" s="12" t="n">
        <x:v>2</x:v>
      </x:c>
      <x:c r="B136" s="12" t="str">
        <x:v>OR-031</x:v>
      </x:c>
      <x:c r="C136" s="12" t="str">
        <x:v>NRM</x:v>
      </x:c>
      <x:c r="D136" s="12" t="str">
        <x:v>RA</x:v>
      </x:c>
      <x:c r="E136" s="12" t="str">
        <x:v>RA</x:v>
      </x:c>
      <x:c r="F136" s="12" t="str">
        <x:v>NRM</x:v>
      </x:c>
      <x:c r="G136" s="12" t="n">
        <x:v>1</x:v>
      </x:c>
      <x:c r="H136" s="12"/>
      <x:c r="I136" s="12" t="n">
        <x:v>1</x:v>
      </x:c>
      <x:c r="J136" s="12" t="n">
        <x:v>1</x:v>
      </x:c>
      <x:c r="K136" s="10" t="n">
        <x:v>67016511.28</x:v>
      </x:c>
      <x:c r="L136" s="10" t="n">
        <x:v>67016511.28</x:v>
      </x:c>
      <x:c r="M136" s="10" t="n">
        <x:v>0</x:v>
      </x:c>
      <x:c r="N136" s="11" t="n">
        <x:v>0</x:v>
      </x:c>
      <x:c r="O136" s="2" t="str">
        <x:v>目标匹配</x:v>
      </x:c>
      <x:c r="P136" s="2" t="str">
        <x:v>completed</x:v>
      </x:c>
      <x:c r="Q136" s="2"/>
      <x:c r="R136" s="2" t="str">
        <x:v>TP,RA,FLP,AP,Mixture,Others</x:v>
      </x:c>
      <x:c r="S136" s="13"/>
    </x:row>
    <x:row r="137" ht="23" customHeight="1">
      <x:c r="A137" s="12" t="n">
        <x:v>2</x:v>
      </x:c>
      <x:c r="B137" s="12" t="str">
        <x:v>OR-032</x:v>
      </x:c>
      <x:c r="C137" s="12" t="str">
        <x:v>NRM</x:v>
      </x:c>
      <x:c r="D137" s="12" t="str">
        <x:v>RA</x:v>
      </x:c>
      <x:c r="E137" s="12" t="str">
        <x:v>RA</x:v>
      </x:c>
      <x:c r="F137" s="12" t="str">
        <x:v>NRM</x:v>
      </x:c>
      <x:c r="G137" s="12" t="n">
        <x:v>1</x:v>
      </x:c>
      <x:c r="H137" s="12"/>
      <x:c r="I137" s="12" t="n">
        <x:v>1</x:v>
      </x:c>
      <x:c r="J137" s="12" t="n">
        <x:v>1</x:v>
      </x:c>
      <x:c r="K137" s="10" t="n">
        <x:v>1240406.25</x:v>
      </x:c>
      <x:c r="L137" s="10" t="n">
        <x:v>1240406.25</x:v>
      </x:c>
      <x:c r="M137" s="10" t="n">
        <x:v>0</x:v>
      </x:c>
      <x:c r="N137" s="11" t="n">
        <x:v>0</x:v>
      </x:c>
      <x:c r="O137" s="2" t="str">
        <x:v>目标匹配</x:v>
      </x:c>
      <x:c r="P137" s="2" t="str">
        <x:v>completed</x:v>
      </x:c>
      <x:c r="Q137" s="2"/>
      <x:c r="R137" s="2" t="str">
        <x:v>TP,RA,FLP,AP,Mixture,Others</x:v>
      </x:c>
      <x:c r="S137" s="13"/>
    </x:row>
    <x:row r="138" ht="23" customHeight="1">
      <x:c r="A138" s="12" t="n">
        <x:v>2</x:v>
      </x:c>
      <x:c r="B138" s="12" t="str">
        <x:v>OR-033</x:v>
      </x:c>
      <x:c r="C138" s="12" t="str">
        <x:v>NRM</x:v>
      </x:c>
      <x:c r="D138" s="12" t="str">
        <x:v>RA</x:v>
      </x:c>
      <x:c r="E138" s="12" t="str">
        <x:v>RA</x:v>
      </x:c>
      <x:c r="F138" s="12" t="str">
        <x:v>NRM</x:v>
      </x:c>
      <x:c r="G138" s="12" t="n">
        <x:v>1</x:v>
      </x:c>
      <x:c r="H138" s="12"/>
      <x:c r="I138" s="12" t="n">
        <x:v>1</x:v>
      </x:c>
      <x:c r="J138" s="12" t="n">
        <x:v>1</x:v>
      </x:c>
      <x:c r="K138" s="10" t="n">
        <x:v>195506188</x:v>
      </x:c>
      <x:c r="L138" s="10" t="n">
        <x:v>195506188</x:v>
      </x:c>
      <x:c r="M138" s="10" t="n">
        <x:v>0</x:v>
      </x:c>
      <x:c r="N138" s="11" t="n">
        <x:v>0</x:v>
      </x:c>
      <x:c r="O138" s="2" t="str">
        <x:v>目标匹配</x:v>
      </x:c>
      <x:c r="P138" s="2" t="str">
        <x:v>completed</x:v>
      </x:c>
      <x:c r="Q138" s="2"/>
      <x:c r="R138" s="2" t="str">
        <x:v>TP,RA,FLP,AP,Mixture,Others</x:v>
      </x:c>
      <x:c r="S138" s="13"/>
    </x:row>
    <x:row r="139" ht="23" customHeight="1">
      <x:c r="A139" s="12" t="n">
        <x:v>2</x:v>
      </x:c>
      <x:c r="B139" s="12" t="str">
        <x:v>OR-034</x:v>
      </x:c>
      <x:c r="C139" s="12" t="str">
        <x:v>NRM</x:v>
      </x:c>
      <x:c r="D139" s="12" t="str">
        <x:v>RA</x:v>
      </x:c>
      <x:c r="E139" s="12" t="str">
        <x:v>RA</x:v>
      </x:c>
      <x:c r="F139" s="12" t="str">
        <x:v>NRM</x:v>
      </x:c>
      <x:c r="G139" s="12" t="n">
        <x:v>1</x:v>
      </x:c>
      <x:c r="H139" s="12"/>
      <x:c r="I139" s="12" t="n">
        <x:v>0</x:v>
      </x:c>
      <x:c r="J139" s="12" t="n">
        <x:v>0</x:v>
      </x:c>
      <x:c r="K139" s="10"/>
      <x:c r="L139" s="10" t="n">
        <x:v>914600.25</x:v>
      </x:c>
      <x:c r="M139" s="10"/>
      <x:c r="N139" s="11"/>
      <x:c r="O139" s="2" t="str">
        <x:v>执行失败</x:v>
      </x:c>
      <x:c r="P139" s="2" t="str">
        <x:v>code_generation</x:v>
      </x:c>
      <x:c r="Q139" s="2" t="str">
        <x:v>ValueError</x:v>
      </x:c>
      <x:c r="R139" s="2" t="str">
        <x:v>TP,RA,FLP,AP,Mixture,Others</x:v>
      </x:c>
      <x:c r="S139" s="13"/>
    </x:row>
    <x:row r="140" ht="23" customHeight="1">
      <x:c r="A140" s="12" t="n">
        <x:v>2</x:v>
      </x:c>
      <x:c r="B140" s="12" t="str">
        <x:v>OR-035</x:v>
      </x:c>
      <x:c r="C140" s="12" t="str">
        <x:v>RA</x:v>
      </x:c>
      <x:c r="D140" s="12" t="str">
        <x:v>Others</x:v>
      </x:c>
      <x:c r="E140" s="12" t="str">
        <x:v>Others</x:v>
      </x:c>
      <x:c r="F140" s="12" t="str">
        <x:v>RA</x:v>
      </x:c>
      <x:c r="G140" s="12" t="n">
        <x:v>1</x:v>
      </x:c>
      <x:c r="H140" s="12"/>
      <x:c r="I140" s="12" t="n">
        <x:v>1</x:v>
      </x:c>
      <x:c r="J140" s="12" t="n">
        <x:v>1</x:v>
      </x:c>
      <x:c r="K140" s="10" t="n">
        <x:v>150660</x:v>
      </x:c>
      <x:c r="L140" s="10" t="n">
        <x:v>150660</x:v>
      </x:c>
      <x:c r="M140" s="10" t="n">
        <x:v>0</x:v>
      </x:c>
      <x:c r="N140" s="11" t="n">
        <x:v>0</x:v>
      </x:c>
      <x:c r="O140" s="2" t="str">
        <x:v>目标匹配</x:v>
      </x:c>
      <x:c r="P140" s="2" t="str">
        <x:v>completed</x:v>
      </x:c>
      <x:c r="Q140" s="2"/>
      <x:c r="R140" s="2" t="str">
        <x:v>TP,NRM,FLP,AP,Mixture,Others</x:v>
      </x:c>
      <x:c r="S140" s="13"/>
    </x:row>
    <x:row r="141" ht="23" customHeight="1">
      <x:c r="A141" s="12" t="n">
        <x:v>2</x:v>
      </x:c>
      <x:c r="B141" s="12" t="str">
        <x:v>OR-036</x:v>
      </x:c>
      <x:c r="C141" s="12" t="str">
        <x:v>RA</x:v>
      </x:c>
      <x:c r="D141" s="12" t="str">
        <x:v>Others</x:v>
      </x:c>
      <x:c r="E141" s="12" t="str">
        <x:v>Others</x:v>
      </x:c>
      <x:c r="F141" s="12" t="str">
        <x:v>RA</x:v>
      </x:c>
      <x:c r="G141" s="12" t="n">
        <x:v>1</x:v>
      </x:c>
      <x:c r="H141" s="12"/>
      <x:c r="I141" s="12" t="n">
        <x:v>1</x:v>
      </x:c>
      <x:c r="J141" s="12" t="n">
        <x:v>1</x:v>
      </x:c>
      <x:c r="K141" s="10" t="n">
        <x:v>509925</x:v>
      </x:c>
      <x:c r="L141" s="10" t="n">
        <x:v>509925</x:v>
      </x:c>
      <x:c r="M141" s="10" t="n">
        <x:v>0</x:v>
      </x:c>
      <x:c r="N141" s="11" t="n">
        <x:v>0</x:v>
      </x:c>
      <x:c r="O141" s="2" t="str">
        <x:v>目标匹配</x:v>
      </x:c>
      <x:c r="P141" s="2" t="str">
        <x:v>completed</x:v>
      </x:c>
      <x:c r="Q141" s="2"/>
      <x:c r="R141" s="2" t="str">
        <x:v>TP,NRM,FLP,AP,Mixture,Others</x:v>
      </x:c>
      <x:c r="S141" s="13"/>
    </x:row>
    <x:row r="142" ht="23" customHeight="1">
      <x:c r="A142" s="12" t="n">
        <x:v>2</x:v>
      </x:c>
      <x:c r="B142" s="12" t="str">
        <x:v>OR-037</x:v>
      </x:c>
      <x:c r="C142" s="12" t="str">
        <x:v>RA</x:v>
      </x:c>
      <x:c r="D142" s="12" t="str">
        <x:v>Others</x:v>
      </x:c>
      <x:c r="E142" s="12" t="str">
        <x:v>Others</x:v>
      </x:c>
      <x:c r="F142" s="12" t="str">
        <x:v>RA</x:v>
      </x:c>
      <x:c r="G142" s="12" t="n">
        <x:v>1</x:v>
      </x:c>
      <x:c r="H142" s="12"/>
      <x:c r="I142" s="12" t="n">
        <x:v>1</x:v>
      </x:c>
      <x:c r="J142" s="12" t="n">
        <x:v>1</x:v>
      </x:c>
      <x:c r="K142" s="10" t="n">
        <x:v>722376</x:v>
      </x:c>
      <x:c r="L142" s="10" t="n">
        <x:v>722376</x:v>
      </x:c>
      <x:c r="M142" s="10" t="n">
        <x:v>0</x:v>
      </x:c>
      <x:c r="N142" s="11" t="n">
        <x:v>0</x:v>
      </x:c>
      <x:c r="O142" s="2" t="str">
        <x:v>目标匹配</x:v>
      </x:c>
      <x:c r="P142" s="2" t="str">
        <x:v>completed</x:v>
      </x:c>
      <x:c r="Q142" s="2"/>
      <x:c r="R142" s="2" t="str">
        <x:v>TP,NRM,FLP,AP,Mixture,Others</x:v>
      </x:c>
      <x:c r="S142" s="13"/>
    </x:row>
    <x:row r="143" ht="23" customHeight="1">
      <x:c r="A143" s="12" t="n">
        <x:v>2</x:v>
      </x:c>
      <x:c r="B143" s="12" t="str">
        <x:v>OR-038</x:v>
      </x:c>
      <x:c r="C143" s="12" t="str">
        <x:v>RA</x:v>
      </x:c>
      <x:c r="D143" s="12" t="str">
        <x:v>Others</x:v>
      </x:c>
      <x:c r="E143" s="12" t="str">
        <x:v>Others</x:v>
      </x:c>
      <x:c r="F143" s="12" t="str">
        <x:v>RA</x:v>
      </x:c>
      <x:c r="G143" s="12" t="n">
        <x:v>1</x:v>
      </x:c>
      <x:c r="H143" s="12"/>
      <x:c r="I143" s="12" t="n">
        <x:v>1</x:v>
      </x:c>
      <x:c r="J143" s="12" t="n">
        <x:v>1</x:v>
      </x:c>
      <x:c r="K143" s="10" t="n">
        <x:v>1314500</x:v>
      </x:c>
      <x:c r="L143" s="10" t="n">
        <x:v>1314500</x:v>
      </x:c>
      <x:c r="M143" s="10" t="n">
        <x:v>0</x:v>
      </x:c>
      <x:c r="N143" s="11" t="n">
        <x:v>0</x:v>
      </x:c>
      <x:c r="O143" s="2" t="str">
        <x:v>目标匹配</x:v>
      </x:c>
      <x:c r="P143" s="2" t="str">
        <x:v>completed</x:v>
      </x:c>
      <x:c r="Q143" s="2"/>
      <x:c r="R143" s="2" t="str">
        <x:v>TP,NRM,FLP,AP,Mixture,Others</x:v>
      </x:c>
      <x:c r="S143" s="13"/>
    </x:row>
    <x:row r="144" ht="23" customHeight="1">
      <x:c r="A144" s="12" t="n">
        <x:v>2</x:v>
      </x:c>
      <x:c r="B144" s="12" t="str">
        <x:v>OR-039</x:v>
      </x:c>
      <x:c r="C144" s="12" t="str">
        <x:v>RA</x:v>
      </x:c>
      <x:c r="D144" s="12" t="str">
        <x:v>Others</x:v>
      </x:c>
      <x:c r="E144" s="12" t="str">
        <x:v>Others</x:v>
      </x:c>
      <x:c r="F144" s="12" t="str">
        <x:v>RA</x:v>
      </x:c>
      <x:c r="G144" s="12" t="n">
        <x:v>1</x:v>
      </x:c>
      <x:c r="H144" s="12"/>
      <x:c r="I144" s="12" t="n">
        <x:v>1</x:v>
      </x:c>
      <x:c r="J144" s="12" t="n">
        <x:v>1</x:v>
      </x:c>
      <x:c r="K144" s="10" t="n">
        <x:v>429000</x:v>
      </x:c>
      <x:c r="L144" s="10" t="n">
        <x:v>429000</x:v>
      </x:c>
      <x:c r="M144" s="10" t="n">
        <x:v>0</x:v>
      </x:c>
      <x:c r="N144" s="11" t="n">
        <x:v>0</x:v>
      </x:c>
      <x:c r="O144" s="2" t="str">
        <x:v>目标匹配</x:v>
      </x:c>
      <x:c r="P144" s="2" t="str">
        <x:v>completed</x:v>
      </x:c>
      <x:c r="Q144" s="2"/>
      <x:c r="R144" s="2" t="str">
        <x:v>TP,NRM,FLP,AP,Mixture,Others</x:v>
      </x:c>
      <x:c r="S144" s="13"/>
    </x:row>
    <x:row r="145" ht="23" customHeight="1">
      <x:c r="A145" s="12" t="n">
        <x:v>2</x:v>
      </x:c>
      <x:c r="B145" s="12" t="str">
        <x:v>OR-040</x:v>
      </x:c>
      <x:c r="C145" s="12" t="str">
        <x:v>RA</x:v>
      </x:c>
      <x:c r="D145" s="12" t="str">
        <x:v>Others</x:v>
      </x:c>
      <x:c r="E145" s="12" t="str">
        <x:v>Others</x:v>
      </x:c>
      <x:c r="F145" s="12" t="str">
        <x:v>RA</x:v>
      </x:c>
      <x:c r="G145" s="12" t="n">
        <x:v>1</x:v>
      </x:c>
      <x:c r="H145" s="12"/>
      <x:c r="I145" s="12" t="n">
        <x:v>1</x:v>
      </x:c>
      <x:c r="J145" s="12" t="n">
        <x:v>1</x:v>
      </x:c>
      <x:c r="K145" s="10" t="n">
        <x:v>74260</x:v>
      </x:c>
      <x:c r="L145" s="10" t="n">
        <x:v>74260</x:v>
      </x:c>
      <x:c r="M145" s="10" t="n">
        <x:v>0</x:v>
      </x:c>
      <x:c r="N145" s="11" t="n">
        <x:v>0</x:v>
      </x:c>
      <x:c r="O145" s="2" t="str">
        <x:v>目标匹配</x:v>
      </x:c>
      <x:c r="P145" s="2" t="str">
        <x:v>completed</x:v>
      </x:c>
      <x:c r="Q145" s="2"/>
      <x:c r="R145" s="2" t="str">
        <x:v>TP,NRM,FLP,AP,Mixture,Others</x:v>
      </x:c>
      <x:c r="S145" s="13"/>
    </x:row>
    <x:row r="146" ht="23" customHeight="1">
      <x:c r="A146" s="12" t="n">
        <x:v>2</x:v>
      </x:c>
      <x:c r="B146" s="12" t="str">
        <x:v>OR-041</x:v>
      </x:c>
      <x:c r="C146" s="12" t="str">
        <x:v>RA</x:v>
      </x:c>
      <x:c r="D146" s="12" t="str">
        <x:v>Others</x:v>
      </x:c>
      <x:c r="E146" s="12" t="str">
        <x:v>Others</x:v>
      </x:c>
      <x:c r="F146" s="12" t="str">
        <x:v>RA</x:v>
      </x:c>
      <x:c r="G146" s="12" t="n">
        <x:v>1</x:v>
      </x:c>
      <x:c r="H146" s="12"/>
      <x:c r="I146" s="12" t="n">
        <x:v>1</x:v>
      </x:c>
      <x:c r="J146" s="12" t="n">
        <x:v>0</x:v>
      </x:c>
      <x:c r="K146" s="10" t="n">
        <x:v>4408.523076923077</x:v>
      </x:c>
      <x:c r="L146" s="10" t="n">
        <x:v>3912</x:v>
      </x:c>
      <x:c r="M146" s="10" t="n">
        <x:v>496.5230769230766</x:v>
      </x:c>
      <x:c r="N146" s="11" t="n">
        <x:v>0.12692307692307683</x:v>
      </x:c>
      <x:c r="O146" s="2" t="str">
        <x:v>已求解但目标不匹配</x:v>
      </x:c>
      <x:c r="P146" s="2" t="str">
        <x:v>completed</x:v>
      </x:c>
      <x:c r="Q146" s="2"/>
      <x:c r="R146" s="2" t="str">
        <x:v>TP,NRM,FLP,AP,Mixture,Others</x:v>
      </x:c>
      <x:c r="S146" s="13"/>
    </x:row>
    <x:row r="147" ht="23" customHeight="1">
      <x:c r="A147" s="12" t="n">
        <x:v>2</x:v>
      </x:c>
      <x:c r="B147" s="12" t="str">
        <x:v>OR-042</x:v>
      </x:c>
      <x:c r="C147" s="12" t="str">
        <x:v>RA</x:v>
      </x:c>
      <x:c r="D147" s="12" t="str">
        <x:v>Others</x:v>
      </x:c>
      <x:c r="E147" s="12" t="str">
        <x:v>Others</x:v>
      </x:c>
      <x:c r="F147" s="12" t="str">
        <x:v>RA</x:v>
      </x:c>
      <x:c r="G147" s="12" t="n">
        <x:v>1</x:v>
      </x:c>
      <x:c r="H147" s="12"/>
      <x:c r="I147" s="12" t="n">
        <x:v>0</x:v>
      </x:c>
      <x:c r="J147" s="12" t="n">
        <x:v>0</x:v>
      </x:c>
      <x:c r="K147" s="10"/>
      <x:c r="L147" s="10" t="n">
        <x:v>81918</x:v>
      </x:c>
      <x:c r="M147" s="10"/>
      <x:c r="N147" s="11"/>
      <x:c r="O147" s="2" t="str">
        <x:v>执行失败</x:v>
      </x:c>
      <x:c r="P147" s="2" t="str">
        <x:v>solve</x:v>
      </x:c>
      <x:c r="Q147" s="2" t="str">
        <x:v>ValueError</x:v>
      </x:c>
      <x:c r="R147" s="2" t="str">
        <x:v>TP,NRM,FLP,AP,Mixture,Others</x:v>
      </x:c>
      <x:c r="S147" s="13"/>
    </x:row>
    <x:row r="148" ht="23" customHeight="1">
      <x:c r="A148" s="12" t="n">
        <x:v>2</x:v>
      </x:c>
      <x:c r="B148" s="12" t="str">
        <x:v>OR-043</x:v>
      </x:c>
      <x:c r="C148" s="12" t="str">
        <x:v>RA</x:v>
      </x:c>
      <x:c r="D148" s="12" t="str">
        <x:v>Others</x:v>
      </x:c>
      <x:c r="E148" s="12" t="str">
        <x:v>Others</x:v>
      </x:c>
      <x:c r="F148" s="12" t="str">
        <x:v>RA</x:v>
      </x:c>
      <x:c r="G148" s="12" t="n">
        <x:v>1</x:v>
      </x:c>
      <x:c r="H148" s="12"/>
      <x:c r="I148" s="12" t="n">
        <x:v>1</x:v>
      </x:c>
      <x:c r="J148" s="12" t="n">
        <x:v>1</x:v>
      </x:c>
      <x:c r="K148" s="10" t="n">
        <x:v>13570</x:v>
      </x:c>
      <x:c r="L148" s="10" t="n">
        <x:v>13570</x:v>
      </x:c>
      <x:c r="M148" s="10" t="n">
        <x:v>0</x:v>
      </x:c>
      <x:c r="N148" s="11" t="n">
        <x:v>0</x:v>
      </x:c>
      <x:c r="O148" s="2" t="str">
        <x:v>目标匹配</x:v>
      </x:c>
      <x:c r="P148" s="2" t="str">
        <x:v>completed</x:v>
      </x:c>
      <x:c r="Q148" s="2"/>
      <x:c r="R148" s="2" t="str">
        <x:v>TP,NRM,FLP,AP,Mixture,Others</x:v>
      </x:c>
      <x:c r="S148" s="13"/>
    </x:row>
    <x:row r="149" ht="23" customHeight="1">
      <x:c r="A149" s="12" t="n">
        <x:v>2</x:v>
      </x:c>
      <x:c r="B149" s="12" t="str">
        <x:v>OR-044</x:v>
      </x:c>
      <x:c r="C149" s="12" t="str">
        <x:v>RA</x:v>
      </x:c>
      <x:c r="D149" s="12" t="str">
        <x:v>Others</x:v>
      </x:c>
      <x:c r="E149" s="12" t="str">
        <x:v>Others</x:v>
      </x:c>
      <x:c r="F149" s="12" t="str">
        <x:v>RA</x:v>
      </x:c>
      <x:c r="G149" s="12" t="n">
        <x:v>1</x:v>
      </x:c>
      <x:c r="H149" s="12"/>
      <x:c r="I149" s="12" t="n">
        <x:v>1</x:v>
      </x:c>
      <x:c r="J149" s="12" t="n">
        <x:v>1</x:v>
      </x:c>
      <x:c r="K149" s="10" t="n">
        <x:v>8000</x:v>
      </x:c>
      <x:c r="L149" s="10" t="n">
        <x:v>8000</x:v>
      </x:c>
      <x:c r="M149" s="10" t="n">
        <x:v>0</x:v>
      </x:c>
      <x:c r="N149" s="11" t="n">
        <x:v>0</x:v>
      </x:c>
      <x:c r="O149" s="2" t="str">
        <x:v>目标匹配</x:v>
      </x:c>
      <x:c r="P149" s="2" t="str">
        <x:v>completed</x:v>
      </x:c>
      <x:c r="Q149" s="2"/>
      <x:c r="R149" s="2" t="str">
        <x:v>TP,NRM,FLP,AP,Mixture,Others</x:v>
      </x:c>
      <x:c r="S149" s="13"/>
    </x:row>
    <x:row r="150" ht="23" customHeight="1">
      <x:c r="A150" s="12" t="n">
        <x:v>2</x:v>
      </x:c>
      <x:c r="B150" s="12" t="str">
        <x:v>OR-045</x:v>
      </x:c>
      <x:c r="C150" s="12" t="str">
        <x:v>RA</x:v>
      </x:c>
      <x:c r="D150" s="12" t="str">
        <x:v>Others</x:v>
      </x:c>
      <x:c r="E150" s="12" t="str">
        <x:v>Others</x:v>
      </x:c>
      <x:c r="F150" s="12" t="str">
        <x:v>RA</x:v>
      </x:c>
      <x:c r="G150" s="12" t="n">
        <x:v>1</x:v>
      </x:c>
      <x:c r="H150" s="12"/>
      <x:c r="I150" s="12" t="n">
        <x:v>1</x:v>
      </x:c>
      <x:c r="J150" s="12" t="n">
        <x:v>1</x:v>
      </x:c>
      <x:c r="K150" s="10" t="n">
        <x:v>885</x:v>
      </x:c>
      <x:c r="L150" s="10" t="n">
        <x:v>885</x:v>
      </x:c>
      <x:c r="M150" s="10" t="n">
        <x:v>0</x:v>
      </x:c>
      <x:c r="N150" s="11" t="n">
        <x:v>0</x:v>
      </x:c>
      <x:c r="O150" s="2" t="str">
        <x:v>目标匹配</x:v>
      </x:c>
      <x:c r="P150" s="2" t="str">
        <x:v>completed</x:v>
      </x:c>
      <x:c r="Q150" s="2"/>
      <x:c r="R150" s="2" t="str">
        <x:v>TP,NRM,FLP,AP,Mixture,Others</x:v>
      </x:c>
      <x:c r="S150" s="13"/>
    </x:row>
    <x:row r="151" ht="23" customHeight="1">
      <x:c r="A151" s="12" t="n">
        <x:v>2</x:v>
      </x:c>
      <x:c r="B151" s="12" t="str">
        <x:v>OR-046</x:v>
      </x:c>
      <x:c r="C151" s="12" t="str">
        <x:v>RA</x:v>
      </x:c>
      <x:c r="D151" s="12" t="str">
        <x:v>Others</x:v>
      </x:c>
      <x:c r="E151" s="12" t="str">
        <x:v>Others</x:v>
      </x:c>
      <x:c r="F151" s="12" t="str">
        <x:v>RA</x:v>
      </x:c>
      <x:c r="G151" s="12" t="n">
        <x:v>1</x:v>
      </x:c>
      <x:c r="H151" s="12"/>
      <x:c r="I151" s="12" t="n">
        <x:v>1</x:v>
      </x:c>
      <x:c r="J151" s="12" t="n">
        <x:v>1</x:v>
      </x:c>
      <x:c r="K151" s="10" t="n">
        <x:v>212</x:v>
      </x:c>
      <x:c r="L151" s="10" t="n">
        <x:v>212</x:v>
      </x:c>
      <x:c r="M151" s="10" t="n">
        <x:v>0</x:v>
      </x:c>
      <x:c r="N151" s="11" t="n">
        <x:v>0</x:v>
      </x:c>
      <x:c r="O151" s="2" t="str">
        <x:v>目标匹配</x:v>
      </x:c>
      <x:c r="P151" s="2" t="str">
        <x:v>completed</x:v>
      </x:c>
      <x:c r="Q151" s="2"/>
      <x:c r="R151" s="2" t="str">
        <x:v>TP,NRM,FLP,AP,Mixture,Others</x:v>
      </x:c>
      <x:c r="S151" s="13"/>
    </x:row>
    <x:row r="152" ht="23" customHeight="1">
      <x:c r="A152" s="12" t="n">
        <x:v>2</x:v>
      </x:c>
      <x:c r="B152" s="12" t="str">
        <x:v>OR-047</x:v>
      </x:c>
      <x:c r="C152" s="12" t="str">
        <x:v>RA</x:v>
      </x:c>
      <x:c r="D152" s="12" t="str">
        <x:v>Mixture</x:v>
      </x:c>
      <x:c r="E152" s="12" t="str">
        <x:v>Others</x:v>
      </x:c>
      <x:c r="F152" s="12" t="str">
        <x:v>RA</x:v>
      </x:c>
      <x:c r="G152" s="12" t="n">
        <x:v>1</x:v>
      </x:c>
      <x:c r="H152" s="12"/>
      <x:c r="I152" s="12" t="n">
        <x:v>1</x:v>
      </x:c>
      <x:c r="J152" s="12" t="n">
        <x:v>1</x:v>
      </x:c>
      <x:c r="K152" s="10" t="n">
        <x:v>5433</x:v>
      </x:c>
      <x:c r="L152" s="10" t="n">
        <x:v>5433</x:v>
      </x:c>
      <x:c r="M152" s="10" t="n">
        <x:v>0</x:v>
      </x:c>
      <x:c r="N152" s="11" t="n">
        <x:v>0</x:v>
      </x:c>
      <x:c r="O152" s="2" t="str">
        <x:v>目标匹配</x:v>
      </x:c>
      <x:c r="P152" s="2" t="str">
        <x:v>completed</x:v>
      </x:c>
      <x:c r="Q152" s="2"/>
      <x:c r="R152" s="2" t="str">
        <x:v>TP,NRM,FLP,AP,Mixture,Others</x:v>
      </x:c>
      <x:c r="S152" s="13"/>
    </x:row>
    <x:row r="153" ht="23" customHeight="1">
      <x:c r="A153" s="12" t="n">
        <x:v>2</x:v>
      </x:c>
      <x:c r="B153" s="12" t="str">
        <x:v>OR-048</x:v>
      </x:c>
      <x:c r="C153" s="12" t="str">
        <x:v>RA</x:v>
      </x:c>
      <x:c r="D153" s="12" t="str">
        <x:v>Others</x:v>
      </x:c>
      <x:c r="E153" s="12" t="str">
        <x:v>Others</x:v>
      </x:c>
      <x:c r="F153" s="12" t="str">
        <x:v>RA</x:v>
      </x:c>
      <x:c r="G153" s="12" t="n">
        <x:v>1</x:v>
      </x:c>
      <x:c r="H153" s="12"/>
      <x:c r="I153" s="12" t="n">
        <x:v>1</x:v>
      </x:c>
      <x:c r="J153" s="12" t="n">
        <x:v>1</x:v>
      </x:c>
      <x:c r="K153" s="10" t="n">
        <x:v>635052</x:v>
      </x:c>
      <x:c r="L153" s="10" t="n">
        <x:v>635052</x:v>
      </x:c>
      <x:c r="M153" s="10" t="n">
        <x:v>0</x:v>
      </x:c>
      <x:c r="N153" s="11" t="n">
        <x:v>0</x:v>
      </x:c>
      <x:c r="O153" s="2" t="str">
        <x:v>目标匹配</x:v>
      </x:c>
      <x:c r="P153" s="2" t="str">
        <x:v>completed</x:v>
      </x:c>
      <x:c r="Q153" s="2"/>
      <x:c r="R153" s="2" t="str">
        <x:v>TP,NRM,FLP,AP,Mixture,Others</x:v>
      </x:c>
      <x:c r="S153" s="13"/>
    </x:row>
    <x:row r="154" ht="23" customHeight="1">
      <x:c r="A154" s="12" t="n">
        <x:v>2</x:v>
      </x:c>
      <x:c r="B154" s="12" t="str">
        <x:v>OR-049</x:v>
      </x:c>
      <x:c r="C154" s="12" t="str">
        <x:v>RA</x:v>
      </x:c>
      <x:c r="D154" s="12" t="str">
        <x:v>Others</x:v>
      </x:c>
      <x:c r="E154" s="12" t="str">
        <x:v>Others</x:v>
      </x:c>
      <x:c r="F154" s="12" t="str">
        <x:v>RA</x:v>
      </x:c>
      <x:c r="G154" s="12" t="n">
        <x:v>1</x:v>
      </x:c>
      <x:c r="H154" s="12"/>
      <x:c r="I154" s="12" t="n">
        <x:v>1</x:v>
      </x:c>
      <x:c r="J154" s="12" t="n">
        <x:v>1</x:v>
      </x:c>
      <x:c r="K154" s="10" t="n">
        <x:v>85500</x:v>
      </x:c>
      <x:c r="L154" s="10" t="n">
        <x:v>85500</x:v>
      </x:c>
      <x:c r="M154" s="10" t="n">
        <x:v>0</x:v>
      </x:c>
      <x:c r="N154" s="11" t="n">
        <x:v>0</x:v>
      </x:c>
      <x:c r="O154" s="2" t="str">
        <x:v>目标匹配</x:v>
      </x:c>
      <x:c r="P154" s="2" t="str">
        <x:v>completed</x:v>
      </x:c>
      <x:c r="Q154" s="2"/>
      <x:c r="R154" s="2" t="str">
        <x:v>TP,NRM,FLP,AP,Mixture,Others</x:v>
      </x:c>
      <x:c r="S154" s="13"/>
    </x:row>
    <x:row r="155" ht="23" customHeight="1">
      <x:c r="A155" s="12" t="n">
        <x:v>2</x:v>
      </x:c>
      <x:c r="B155" s="12" t="str">
        <x:v>OR-050</x:v>
      </x:c>
      <x:c r="C155" s="12" t="str">
        <x:v>Mixture</x:v>
      </x:c>
      <x:c r="D155" s="12" t="str">
        <x:v>RA</x:v>
      </x:c>
      <x:c r="E155" s="12" t="str">
        <x:v>RA</x:v>
      </x:c>
      <x:c r="F155" s="12" t="str">
        <x:v>Others</x:v>
      </x:c>
      <x:c r="G155" s="12" t="n">
        <x:v>1</x:v>
      </x:c>
      <x:c r="H155" s="12"/>
      <x:c r="I155" s="12" t="n">
        <x:v>0</x:v>
      </x:c>
      <x:c r="J155" s="12" t="n">
        <x:v>0</x:v>
      </x:c>
      <x:c r="K155" s="10"/>
      <x:c r="L155" s="10" t="n">
        <x:v>80250</x:v>
      </x:c>
      <x:c r="M155" s="10"/>
      <x:c r="N155" s="11"/>
      <x:c r="O155" s="2" t="str">
        <x:v>执行失败</x:v>
      </x:c>
      <x:c r="P155" s="2" t="str">
        <x:v>code_generation</x:v>
      </x:c>
      <x:c r="Q155" s="2" t="str">
        <x:v>ValueError</x:v>
      </x:c>
      <x:c r="R155" s="2" t="str">
        <x:v>TP,NRM,RA,FLP,AP</x:v>
      </x:c>
      <x:c r="S155" s="13"/>
    </x:row>
    <x:row r="156" ht="23" customHeight="1">
      <x:c r="A156" s="12" t="n">
        <x:v>2</x:v>
      </x:c>
      <x:c r="B156" s="12" t="str">
        <x:v>OR-051</x:v>
      </x:c>
      <x:c r="C156" s="12" t="str">
        <x:v>RA</x:v>
      </x:c>
      <x:c r="D156" s="12" t="str">
        <x:v>Others</x:v>
      </x:c>
      <x:c r="E156" s="12" t="str">
        <x:v>Others</x:v>
      </x:c>
      <x:c r="F156" s="12" t="str">
        <x:v>RA</x:v>
      </x:c>
      <x:c r="G156" s="12" t="n">
        <x:v>1</x:v>
      </x:c>
      <x:c r="H156" s="12"/>
      <x:c r="I156" s="12" t="n">
        <x:v>1</x:v>
      </x:c>
      <x:c r="J156" s="12" t="n">
        <x:v>1</x:v>
      </x:c>
      <x:c r="K156" s="10" t="n">
        <x:v>594900</x:v>
      </x:c>
      <x:c r="L156" s="10" t="n">
        <x:v>594900</x:v>
      </x:c>
      <x:c r="M156" s="10" t="n">
        <x:v>0</x:v>
      </x:c>
      <x:c r="N156" s="11" t="n">
        <x:v>0</x:v>
      </x:c>
      <x:c r="O156" s="2" t="str">
        <x:v>目标匹配</x:v>
      </x:c>
      <x:c r="P156" s="2" t="str">
        <x:v>completed</x:v>
      </x:c>
      <x:c r="Q156" s="2"/>
      <x:c r="R156" s="2" t="str">
        <x:v>TP,NRM,FLP,AP,Mixture,Others</x:v>
      </x:c>
      <x:c r="S156" s="13"/>
    </x:row>
    <x:row r="157" ht="23" customHeight="1">
      <x:c r="A157" s="12" t="n">
        <x:v>2</x:v>
      </x:c>
      <x:c r="B157" s="12" t="str">
        <x:v>OR-052</x:v>
      </x:c>
      <x:c r="C157" s="12" t="str">
        <x:v>RA</x:v>
      </x:c>
      <x:c r="D157" s="12" t="str">
        <x:v>Others</x:v>
      </x:c>
      <x:c r="E157" s="12" t="str">
        <x:v>Others</x:v>
      </x:c>
      <x:c r="F157" s="12" t="str">
        <x:v>RA</x:v>
      </x:c>
      <x:c r="G157" s="12" t="n">
        <x:v>1</x:v>
      </x:c>
      <x:c r="H157" s="12"/>
      <x:c r="I157" s="12" t="n">
        <x:v>1</x:v>
      </x:c>
      <x:c r="J157" s="12" t="n">
        <x:v>1</x:v>
      </x:c>
      <x:c r="K157" s="10" t="n">
        <x:v>30240</x:v>
      </x:c>
      <x:c r="L157" s="10" t="n">
        <x:v>30240</x:v>
      </x:c>
      <x:c r="M157" s="10" t="n">
        <x:v>0</x:v>
      </x:c>
      <x:c r="N157" s="11" t="n">
        <x:v>0</x:v>
      </x:c>
      <x:c r="O157" s="2" t="str">
        <x:v>目标匹配</x:v>
      </x:c>
      <x:c r="P157" s="2" t="str">
        <x:v>completed</x:v>
      </x:c>
      <x:c r="Q157" s="2"/>
      <x:c r="R157" s="2" t="str">
        <x:v>TP,NRM,FLP,AP,Mixture,Others</x:v>
      </x:c>
      <x:c r="S157" s="13"/>
    </x:row>
    <x:row r="158" ht="23" customHeight="1">
      <x:c r="A158" s="12" t="n">
        <x:v>2</x:v>
      </x:c>
      <x:c r="B158" s="12" t="str">
        <x:v>OR-053</x:v>
      </x:c>
      <x:c r="C158" s="12" t="str">
        <x:v>RA</x:v>
      </x:c>
      <x:c r="D158" s="12" t="str">
        <x:v>Others</x:v>
      </x:c>
      <x:c r="E158" s="12" t="str">
        <x:v>Others</x:v>
      </x:c>
      <x:c r="F158" s="12" t="str">
        <x:v>RA</x:v>
      </x:c>
      <x:c r="G158" s="12" t="n">
        <x:v>1</x:v>
      </x:c>
      <x:c r="H158" s="12"/>
      <x:c r="I158" s="12" t="n">
        <x:v>1</x:v>
      </x:c>
      <x:c r="J158" s="12" t="n">
        <x:v>1</x:v>
      </x:c>
      <x:c r="K158" s="10" t="n">
        <x:v>41040</x:v>
      </x:c>
      <x:c r="L158" s="10" t="n">
        <x:v>41040</x:v>
      </x:c>
      <x:c r="M158" s="10" t="n">
        <x:v>0</x:v>
      </x:c>
      <x:c r="N158" s="11" t="n">
        <x:v>0</x:v>
      </x:c>
      <x:c r="O158" s="2" t="str">
        <x:v>目标匹配</x:v>
      </x:c>
      <x:c r="P158" s="2" t="str">
        <x:v>completed</x:v>
      </x:c>
      <x:c r="Q158" s="2"/>
      <x:c r="R158" s="2" t="str">
        <x:v>TP,NRM,FLP,AP,Mixture,Others</x:v>
      </x:c>
      <x:c r="S158" s="13"/>
    </x:row>
    <x:row r="159" ht="23" customHeight="1">
      <x:c r="A159" s="12" t="n">
        <x:v>2</x:v>
      </x:c>
      <x:c r="B159" s="12" t="str">
        <x:v>OR-054</x:v>
      </x:c>
      <x:c r="C159" s="12" t="str">
        <x:v>RA</x:v>
      </x:c>
      <x:c r="D159" s="12" t="str">
        <x:v>Others</x:v>
      </x:c>
      <x:c r="E159" s="12" t="str">
        <x:v>Others</x:v>
      </x:c>
      <x:c r="F159" s="12" t="str">
        <x:v>RA</x:v>
      </x:c>
      <x:c r="G159" s="12" t="n">
        <x:v>1</x:v>
      </x:c>
      <x:c r="H159" s="12"/>
      <x:c r="I159" s="12" t="n">
        <x:v>1</x:v>
      </x:c>
      <x:c r="J159" s="12" t="n">
        <x:v>1</x:v>
      </x:c>
      <x:c r="K159" s="10" t="n">
        <x:v>98670</x:v>
      </x:c>
      <x:c r="L159" s="10" t="n">
        <x:v>98670</x:v>
      </x:c>
      <x:c r="M159" s="10" t="n">
        <x:v>0</x:v>
      </x:c>
      <x:c r="N159" s="11" t="n">
        <x:v>0</x:v>
      </x:c>
      <x:c r="O159" s="2" t="str">
        <x:v>目标匹配</x:v>
      </x:c>
      <x:c r="P159" s="2" t="str">
        <x:v>completed</x:v>
      </x:c>
      <x:c r="Q159" s="2"/>
      <x:c r="R159" s="2" t="str">
        <x:v>TP,NRM,FLP,AP,Mixture,Others</x:v>
      </x:c>
      <x:c r="S159" s="13"/>
    </x:row>
    <x:row r="160" ht="23" customHeight="1">
      <x:c r="A160" s="12" t="n">
        <x:v>2</x:v>
      </x:c>
      <x:c r="B160" s="12" t="str">
        <x:v>OR-055</x:v>
      </x:c>
      <x:c r="C160" s="12" t="str">
        <x:v>RA</x:v>
      </x:c>
      <x:c r="D160" s="12" t="str">
        <x:v>Others</x:v>
      </x:c>
      <x:c r="E160" s="12" t="str">
        <x:v>Others</x:v>
      </x:c>
      <x:c r="F160" s="12" t="str">
        <x:v>RA</x:v>
      </x:c>
      <x:c r="G160" s="12" t="n">
        <x:v>1</x:v>
      </x:c>
      <x:c r="H160" s="12"/>
      <x:c r="I160" s="12" t="n">
        <x:v>1</x:v>
      </x:c>
      <x:c r="J160" s="12" t="n">
        <x:v>1</x:v>
      </x:c>
      <x:c r="K160" s="10" t="n">
        <x:v>27088640</x:v>
      </x:c>
      <x:c r="L160" s="10" t="n">
        <x:v>27088640</x:v>
      </x:c>
      <x:c r="M160" s="10" t="n">
        <x:v>0</x:v>
      </x:c>
      <x:c r="N160" s="11" t="n">
        <x:v>0</x:v>
      </x:c>
      <x:c r="O160" s="2" t="str">
        <x:v>目标匹配</x:v>
      </x:c>
      <x:c r="P160" s="2" t="str">
        <x:v>completed</x:v>
      </x:c>
      <x:c r="Q160" s="2"/>
      <x:c r="R160" s="2" t="str">
        <x:v>TP,NRM,FLP,AP,Mixture,Others</x:v>
      </x:c>
      <x:c r="S160" s="13"/>
    </x:row>
    <x:row r="161" ht="23" customHeight="1">
      <x:c r="A161" s="12" t="n">
        <x:v>2</x:v>
      </x:c>
      <x:c r="B161" s="12" t="str">
        <x:v>OR-056</x:v>
      </x:c>
      <x:c r="C161" s="12" t="str">
        <x:v>RA</x:v>
      </x:c>
      <x:c r="D161" s="12" t="str">
        <x:v>Others</x:v>
      </x:c>
      <x:c r="E161" s="12" t="str">
        <x:v>Others</x:v>
      </x:c>
      <x:c r="F161" s="12" t="str">
        <x:v>RA</x:v>
      </x:c>
      <x:c r="G161" s="12" t="n">
        <x:v>1</x:v>
      </x:c>
      <x:c r="H161" s="12"/>
      <x:c r="I161" s="12" t="n">
        <x:v>1</x:v>
      </x:c>
      <x:c r="J161" s="12" t="n">
        <x:v>1</x:v>
      </x:c>
      <x:c r="K161" s="10" t="n">
        <x:v>55642671</x:v>
      </x:c>
      <x:c r="L161" s="10" t="n">
        <x:v>55642671</x:v>
      </x:c>
      <x:c r="M161" s="10" t="n">
        <x:v>0</x:v>
      </x:c>
      <x:c r="N161" s="11" t="n">
        <x:v>0</x:v>
      </x:c>
      <x:c r="O161" s="2" t="str">
        <x:v>目标匹配</x:v>
      </x:c>
      <x:c r="P161" s="2" t="str">
        <x:v>completed</x:v>
      </x:c>
      <x:c r="Q161" s="2"/>
      <x:c r="R161" s="2" t="str">
        <x:v>TP,NRM,FLP,AP,Mixture,Others</x:v>
      </x:c>
      <x:c r="S161" s="13"/>
    </x:row>
    <x:row r="162" ht="23" customHeight="1">
      <x:c r="A162" s="12" t="n">
        <x:v>2</x:v>
      </x:c>
      <x:c r="B162" s="12" t="str">
        <x:v>OR-057</x:v>
      </x:c>
      <x:c r="C162" s="12" t="str">
        <x:v>RA</x:v>
      </x:c>
      <x:c r="D162" s="12" t="str">
        <x:v>Others</x:v>
      </x:c>
      <x:c r="E162" s="12" t="str">
        <x:v>Others</x:v>
      </x:c>
      <x:c r="F162" s="12" t="str">
        <x:v>RA</x:v>
      </x:c>
      <x:c r="G162" s="12" t="n">
        <x:v>1</x:v>
      </x:c>
      <x:c r="H162" s="12"/>
      <x:c r="I162" s="12" t="n">
        <x:v>1</x:v>
      </x:c>
      <x:c r="J162" s="12" t="n">
        <x:v>1</x:v>
      </x:c>
      <x:c r="K162" s="10" t="n">
        <x:v>12502</x:v>
      </x:c>
      <x:c r="L162" s="10" t="n">
        <x:v>12502</x:v>
      </x:c>
      <x:c r="M162" s="10" t="n">
        <x:v>0</x:v>
      </x:c>
      <x:c r="N162" s="11" t="n">
        <x:v>0</x:v>
      </x:c>
      <x:c r="O162" s="2" t="str">
        <x:v>目标匹配</x:v>
      </x:c>
      <x:c r="P162" s="2" t="str">
        <x:v>completed</x:v>
      </x:c>
      <x:c r="Q162" s="2"/>
      <x:c r="R162" s="2" t="str">
        <x:v>TP,NRM,FLP,AP,Mixture,Others</x:v>
      </x:c>
      <x:c r="S162" s="13"/>
    </x:row>
    <x:row r="163" ht="23" customHeight="1">
      <x:c r="A163" s="12" t="n">
        <x:v>2</x:v>
      </x:c>
      <x:c r="B163" s="12" t="str">
        <x:v>OR-058</x:v>
      </x:c>
      <x:c r="C163" s="12" t="str">
        <x:v>FLP</x:v>
      </x:c>
      <x:c r="D163" s="12" t="str">
        <x:v>Mixture</x:v>
      </x:c>
      <x:c r="E163" s="12" t="str">
        <x:v>Others</x:v>
      </x:c>
      <x:c r="F163" s="12" t="str">
        <x:v>FLP</x:v>
      </x:c>
      <x:c r="G163" s="12" t="n">
        <x:v>1</x:v>
      </x:c>
      <x:c r="H163" s="12"/>
      <x:c r="I163" s="12" t="n">
        <x:v>1</x:v>
      </x:c>
      <x:c r="J163" s="12" t="n">
        <x:v>1</x:v>
      </x:c>
      <x:c r="K163" s="10" t="n">
        <x:v>35950.649999999994</x:v>
      </x:c>
      <x:c r="L163" s="10" t="n">
        <x:v>35950.65</x:v>
      </x:c>
      <x:c r="M163" s="10" t="n">
        <x:v>7.275957614183426e-12</x:v>
      </x:c>
      <x:c r="N163" s="11" t="n">
        <x:v>2.023873730845875e-16</x:v>
      </x:c>
      <x:c r="O163" s="2" t="str">
        <x:v>目标匹配</x:v>
      </x:c>
      <x:c r="P163" s="2" t="str">
        <x:v>completed</x:v>
      </x:c>
      <x:c r="Q163" s="2"/>
      <x:c r="R163" s="2" t="str">
        <x:v>TP,NRM,RA,AP,Mixture,Others</x:v>
      </x:c>
      <x:c r="S163" s="13"/>
    </x:row>
    <x:row r="164" ht="23" customHeight="1">
      <x:c r="A164" s="12" t="n">
        <x:v>2</x:v>
      </x:c>
      <x:c r="B164" s="12" t="str">
        <x:v>OR-059</x:v>
      </x:c>
      <x:c r="C164" s="12" t="str">
        <x:v>FLP</x:v>
      </x:c>
      <x:c r="D164" s="12" t="str">
        <x:v>Mixture</x:v>
      </x:c>
      <x:c r="E164" s="12" t="str">
        <x:v>Others</x:v>
      </x:c>
      <x:c r="F164" s="12" t="str">
        <x:v>FLP</x:v>
      </x:c>
      <x:c r="G164" s="12" t="n">
        <x:v>1</x:v>
      </x:c>
      <x:c r="H164" s="12"/>
      <x:c r="I164" s="12" t="n">
        <x:v>1</x:v>
      </x:c>
      <x:c r="J164" s="12" t="n">
        <x:v>1</x:v>
      </x:c>
      <x:c r="K164" s="10" t="n">
        <x:v>1862205008776.57</x:v>
      </x:c>
      <x:c r="L164" s="10" t="n">
        <x:v>1862205008487.07</x:v>
      </x:c>
      <x:c r="M164" s="10" t="n">
        <x:v>289.5</x:v>
      </x:c>
      <x:c r="N164" s="11" t="n">
        <x:v>1.5546086423384792e-10</x:v>
      </x:c>
      <x:c r="O164" s="2" t="str">
        <x:v>目标匹配</x:v>
      </x:c>
      <x:c r="P164" s="2" t="str">
        <x:v>completed</x:v>
      </x:c>
      <x:c r="Q164" s="2"/>
      <x:c r="R164" s="2" t="str">
        <x:v>TP,NRM,RA,AP,Mixture,Others</x:v>
      </x:c>
      <x:c r="S164" s="13"/>
    </x:row>
    <x:row r="165" ht="23" customHeight="1">
      <x:c r="A165" s="12" t="n">
        <x:v>2</x:v>
      </x:c>
      <x:c r="B165" s="12" t="str">
        <x:v>OR-060</x:v>
      </x:c>
      <x:c r="C165" s="12" t="str">
        <x:v>FLP</x:v>
      </x:c>
      <x:c r="D165" s="12" t="str">
        <x:v>Mixture</x:v>
      </x:c>
      <x:c r="E165" s="12" t="str">
        <x:v>Others</x:v>
      </x:c>
      <x:c r="F165" s="12" t="str">
        <x:v>FLP</x:v>
      </x:c>
      <x:c r="G165" s="12" t="n">
        <x:v>1</x:v>
      </x:c>
      <x:c r="H165" s="12"/>
      <x:c r="I165" s="12" t="n">
        <x:v>1</x:v>
      </x:c>
      <x:c r="J165" s="12" t="n">
        <x:v>1</x:v>
      </x:c>
      <x:c r="K165" s="10" t="n">
        <x:v>8643.2</x:v>
      </x:c>
      <x:c r="L165" s="10" t="n">
        <x:v>8643.2</x:v>
      </x:c>
      <x:c r="M165" s="10" t="n">
        <x:v>0</x:v>
      </x:c>
      <x:c r="N165" s="11" t="n">
        <x:v>0</x:v>
      </x:c>
      <x:c r="O165" s="2" t="str">
        <x:v>目标匹配</x:v>
      </x:c>
      <x:c r="P165" s="2" t="str">
        <x:v>completed</x:v>
      </x:c>
      <x:c r="Q165" s="2"/>
      <x:c r="R165" s="2" t="str">
        <x:v>TP,NRM,RA,AP,Mixture,Others</x:v>
      </x:c>
      <x:c r="S165" s="13"/>
    </x:row>
    <x:row r="166" ht="23" customHeight="1">
      <x:c r="A166" s="12" t="n">
        <x:v>2</x:v>
      </x:c>
      <x:c r="B166" s="12" t="str">
        <x:v>OR-061</x:v>
      </x:c>
      <x:c r="C166" s="12" t="str">
        <x:v>FLP</x:v>
      </x:c>
      <x:c r="D166" s="12" t="str">
        <x:v>Mixture</x:v>
      </x:c>
      <x:c r="E166" s="12" t="str">
        <x:v>Others</x:v>
      </x:c>
      <x:c r="F166" s="12" t="str">
        <x:v>FLP</x:v>
      </x:c>
      <x:c r="G166" s="12" t="n">
        <x:v>1</x:v>
      </x:c>
      <x:c r="H166" s="12"/>
      <x:c r="I166" s="12" t="n">
        <x:v>1</x:v>
      </x:c>
      <x:c r="J166" s="12" t="n">
        <x:v>1</x:v>
      </x:c>
      <x:c r="K166" s="10" t="n">
        <x:v>10199.960000000001</x:v>
      </x:c>
      <x:c r="L166" s="10" t="n">
        <x:v>10199.96</x:v>
      </x:c>
      <x:c r="M166" s="10" t="n">
        <x:v>1.8189894035458565e-12</x:v>
      </x:c>
      <x:c r="N166" s="11" t="n">
        <x:v>1.7833299381035383e-16</x:v>
      </x:c>
      <x:c r="O166" s="2" t="str">
        <x:v>目标匹配</x:v>
      </x:c>
      <x:c r="P166" s="2" t="str">
        <x:v>completed</x:v>
      </x:c>
      <x:c r="Q166" s="2"/>
      <x:c r="R166" s="2" t="str">
        <x:v>TP,NRM,RA,AP,Mixture,Others</x:v>
      </x:c>
      <x:c r="S166" s="13"/>
    </x:row>
    <x:row r="167" ht="23" customHeight="1">
      <x:c r="A167" s="12" t="n">
        <x:v>2</x:v>
      </x:c>
      <x:c r="B167" s="12" t="str">
        <x:v>OR-062</x:v>
      </x:c>
      <x:c r="C167" s="12" t="str">
        <x:v>FLP</x:v>
      </x:c>
      <x:c r="D167" s="12" t="str">
        <x:v>Mixture</x:v>
      </x:c>
      <x:c r="E167" s="12" t="str">
        <x:v>Others</x:v>
      </x:c>
      <x:c r="F167" s="12" t="str">
        <x:v>FLP</x:v>
      </x:c>
      <x:c r="G167" s="12" t="n">
        <x:v>1</x:v>
      </x:c>
      <x:c r="H167" s="12"/>
      <x:c r="I167" s="12" t="n">
        <x:v>1</x:v>
      </x:c>
      <x:c r="J167" s="12" t="n">
        <x:v>1</x:v>
      </x:c>
      <x:c r="K167" s="10" t="n">
        <x:v>172612.46</x:v>
      </x:c>
      <x:c r="L167" s="10" t="n">
        <x:v>172612.46</x:v>
      </x:c>
      <x:c r="M167" s="10" t="n">
        <x:v>0</x:v>
      </x:c>
      <x:c r="N167" s="11" t="n">
        <x:v>0</x:v>
      </x:c>
      <x:c r="O167" s="2" t="str">
        <x:v>目标匹配</x:v>
      </x:c>
      <x:c r="P167" s="2" t="str">
        <x:v>completed</x:v>
      </x:c>
      <x:c r="Q167" s="2"/>
      <x:c r="R167" s="2" t="str">
        <x:v>TP,NRM,RA,AP,Mixture,Others</x:v>
      </x:c>
      <x:c r="S167" s="13"/>
    </x:row>
    <x:row r="168" ht="23" customHeight="1">
      <x:c r="A168" s="12" t="n">
        <x:v>2</x:v>
      </x:c>
      <x:c r="B168" s="12" t="str">
        <x:v>OR-063</x:v>
      </x:c>
      <x:c r="C168" s="12" t="str">
        <x:v>FLP</x:v>
      </x:c>
      <x:c r="D168" s="12" t="str">
        <x:v>Mixture</x:v>
      </x:c>
      <x:c r="E168" s="12" t="str">
        <x:v>Others</x:v>
      </x:c>
      <x:c r="F168" s="12" t="str">
        <x:v>FLP</x:v>
      </x:c>
      <x:c r="G168" s="12" t="n">
        <x:v>1</x:v>
      </x:c>
      <x:c r="H168" s="12"/>
      <x:c r="I168" s="12" t="n">
        <x:v>1</x:v>
      </x:c>
      <x:c r="J168" s="12" t="n">
        <x:v>1</x:v>
      </x:c>
      <x:c r="K168" s="10" t="n">
        <x:v>778095.44</x:v>
      </x:c>
      <x:c r="L168" s="10" t="n">
        <x:v>778095.44</x:v>
      </x:c>
      <x:c r="M168" s="10" t="n">
        <x:v>0</x:v>
      </x:c>
      <x:c r="N168" s="11" t="n">
        <x:v>0</x:v>
      </x:c>
      <x:c r="O168" s="2" t="str">
        <x:v>目标匹配</x:v>
      </x:c>
      <x:c r="P168" s="2" t="str">
        <x:v>completed</x:v>
      </x:c>
      <x:c r="Q168" s="2"/>
      <x:c r="R168" s="2" t="str">
        <x:v>TP,NRM,RA,AP,Mixture,Others</x:v>
      </x:c>
      <x:c r="S168" s="13"/>
    </x:row>
    <x:row r="169" ht="23" customHeight="1">
      <x:c r="A169" s="12" t="n">
        <x:v>2</x:v>
      </x:c>
      <x:c r="B169" s="12" t="str">
        <x:v>OR-064</x:v>
      </x:c>
      <x:c r="C169" s="12" t="str">
        <x:v>FLP</x:v>
      </x:c>
      <x:c r="D169" s="12" t="str">
        <x:v>Mixture</x:v>
      </x:c>
      <x:c r="E169" s="12" t="str">
        <x:v>Others</x:v>
      </x:c>
      <x:c r="F169" s="12" t="str">
        <x:v>FLP</x:v>
      </x:c>
      <x:c r="G169" s="12" t="n">
        <x:v>1</x:v>
      </x:c>
      <x:c r="H169" s="12"/>
      <x:c r="I169" s="12" t="n">
        <x:v>1</x:v>
      </x:c>
      <x:c r="J169" s="12" t="n">
        <x:v>1</x:v>
      </x:c>
      <x:c r="K169" s="10" t="n">
        <x:v>18461.11</x:v>
      </x:c>
      <x:c r="L169" s="10" t="n">
        <x:v>18461.11</x:v>
      </x:c>
      <x:c r="M169" s="10" t="n">
        <x:v>0</x:v>
      </x:c>
      <x:c r="N169" s="11" t="n">
        <x:v>0</x:v>
      </x:c>
      <x:c r="O169" s="2" t="str">
        <x:v>目标匹配</x:v>
      </x:c>
      <x:c r="P169" s="2" t="str">
        <x:v>completed</x:v>
      </x:c>
      <x:c r="Q169" s="2"/>
      <x:c r="R169" s="2" t="str">
        <x:v>TP,NRM,RA,AP,Mixture,Others</x:v>
      </x:c>
      <x:c r="S169" s="13"/>
    </x:row>
    <x:row r="170" ht="23" customHeight="1">
      <x:c r="A170" s="12" t="n">
        <x:v>2</x:v>
      </x:c>
      <x:c r="B170" s="12" t="str">
        <x:v>OR-065</x:v>
      </x:c>
      <x:c r="C170" s="12" t="str">
        <x:v>FLP</x:v>
      </x:c>
      <x:c r="D170" s="12" t="str">
        <x:v>Mixture</x:v>
      </x:c>
      <x:c r="E170" s="12" t="str">
        <x:v>Others</x:v>
      </x:c>
      <x:c r="F170" s="12" t="str">
        <x:v>FLP</x:v>
      </x:c>
      <x:c r="G170" s="12" t="n">
        <x:v>1</x:v>
      </x:c>
      <x:c r="H170" s="12"/>
      <x:c r="I170" s="12" t="n">
        <x:v>1</x:v>
      </x:c>
      <x:c r="J170" s="12" t="n">
        <x:v>1</x:v>
      </x:c>
      <x:c r="K170" s="10" t="n">
        <x:v>317318.5</x:v>
      </x:c>
      <x:c r="L170" s="10" t="n">
        <x:v>317318.5</x:v>
      </x:c>
      <x:c r="M170" s="10" t="n">
        <x:v>0</x:v>
      </x:c>
      <x:c r="N170" s="11" t="n">
        <x:v>0</x:v>
      </x:c>
      <x:c r="O170" s="2" t="str">
        <x:v>目标匹配</x:v>
      </x:c>
      <x:c r="P170" s="2" t="str">
        <x:v>completed</x:v>
      </x:c>
      <x:c r="Q170" s="2"/>
      <x:c r="R170" s="2" t="str">
        <x:v>TP,NRM,RA,AP,Mixture,Others</x:v>
      </x:c>
      <x:c r="S170" s="13"/>
    </x:row>
    <x:row r="171" ht="23" customHeight="1">
      <x:c r="A171" s="12" t="n">
        <x:v>2</x:v>
      </x:c>
      <x:c r="B171" s="12" t="str">
        <x:v>OR-066</x:v>
      </x:c>
      <x:c r="C171" s="12" t="str">
        <x:v>FLP</x:v>
      </x:c>
      <x:c r="D171" s="12" t="str">
        <x:v>Mixture</x:v>
      </x:c>
      <x:c r="E171" s="12" t="str">
        <x:v>Others</x:v>
      </x:c>
      <x:c r="F171" s="12" t="str">
        <x:v>FLP</x:v>
      </x:c>
      <x:c r="G171" s="12" t="n">
        <x:v>1</x:v>
      </x:c>
      <x:c r="H171" s="12"/>
      <x:c r="I171" s="12" t="n">
        <x:v>1</x:v>
      </x:c>
      <x:c r="J171" s="12" t="n">
        <x:v>1</x:v>
      </x:c>
      <x:c r="K171" s="10" t="n">
        <x:v>11396.51</x:v>
      </x:c>
      <x:c r="L171" s="10" t="n">
        <x:v>11396.51</x:v>
      </x:c>
      <x:c r="M171" s="10" t="n">
        <x:v>0</x:v>
      </x:c>
      <x:c r="N171" s="11" t="n">
        <x:v>0</x:v>
      </x:c>
      <x:c r="O171" s="2" t="str">
        <x:v>目标匹配</x:v>
      </x:c>
      <x:c r="P171" s="2" t="str">
        <x:v>completed</x:v>
      </x:c>
      <x:c r="Q171" s="2"/>
      <x:c r="R171" s="2" t="str">
        <x:v>TP,NRM,RA,AP,Mixture,Others</x:v>
      </x:c>
      <x:c r="S171" s="13"/>
    </x:row>
    <x:row r="172" ht="23" customHeight="1">
      <x:c r="A172" s="12" t="n">
        <x:v>2</x:v>
      </x:c>
      <x:c r="B172" s="12" t="str">
        <x:v>OR-067</x:v>
      </x:c>
      <x:c r="C172" s="12" t="str">
        <x:v>AP</x:v>
      </x:c>
      <x:c r="D172" s="12" t="str">
        <x:v>Others</x:v>
      </x:c>
      <x:c r="E172" s="12" t="str">
        <x:v>Others</x:v>
      </x:c>
      <x:c r="F172" s="12" t="str">
        <x:v>AP</x:v>
      </x:c>
      <x:c r="G172" s="12" t="n">
        <x:v>1</x:v>
      </x:c>
      <x:c r="H172" s="12"/>
      <x:c r="I172" s="12" t="n">
        <x:v>1</x:v>
      </x:c>
      <x:c r="J172" s="12" t="n">
        <x:v>1</x:v>
      </x:c>
      <x:c r="K172" s="10" t="n">
        <x:v>9000</x:v>
      </x:c>
      <x:c r="L172" s="10" t="n">
        <x:v>9000</x:v>
      </x:c>
      <x:c r="M172" s="10" t="n">
        <x:v>0</x:v>
      </x:c>
      <x:c r="N172" s="11" t="n">
        <x:v>0</x:v>
      </x:c>
      <x:c r="O172" s="2" t="str">
        <x:v>目标匹配</x:v>
      </x:c>
      <x:c r="P172" s="2" t="str">
        <x:v>completed</x:v>
      </x:c>
      <x:c r="Q172" s="2"/>
      <x:c r="R172" s="2" t="str">
        <x:v>TP,NRM,RA,FLP,Mixture,Others</x:v>
      </x:c>
      <x:c r="S172" s="13"/>
    </x:row>
    <x:row r="173" ht="23" customHeight="1">
      <x:c r="A173" s="12" t="n">
        <x:v>2</x:v>
      </x:c>
      <x:c r="B173" s="12" t="str">
        <x:v>OR-068</x:v>
      </x:c>
      <x:c r="C173" s="12" t="str">
        <x:v>AP</x:v>
      </x:c>
      <x:c r="D173" s="12" t="str">
        <x:v>Others</x:v>
      </x:c>
      <x:c r="E173" s="12" t="str">
        <x:v>Others</x:v>
      </x:c>
      <x:c r="F173" s="12" t="str">
        <x:v>AP</x:v>
      </x:c>
      <x:c r="G173" s="12" t="n">
        <x:v>1</x:v>
      </x:c>
      <x:c r="H173" s="12"/>
      <x:c r="I173" s="12" t="n">
        <x:v>1</x:v>
      </x:c>
      <x:c r="J173" s="12" t="n">
        <x:v>1</x:v>
      </x:c>
      <x:c r="K173" s="10" t="n">
        <x:v>9089</x:v>
      </x:c>
      <x:c r="L173" s="10" t="n">
        <x:v>9089</x:v>
      </x:c>
      <x:c r="M173" s="10" t="n">
        <x:v>0</x:v>
      </x:c>
      <x:c r="N173" s="11" t="n">
        <x:v>0</x:v>
      </x:c>
      <x:c r="O173" s="2" t="str">
        <x:v>目标匹配</x:v>
      </x:c>
      <x:c r="P173" s="2" t="str">
        <x:v>completed</x:v>
      </x:c>
      <x:c r="Q173" s="2"/>
      <x:c r="R173" s="2" t="str">
        <x:v>TP,NRM,RA,FLP,Mixture,Others</x:v>
      </x:c>
      <x:c r="S173" s="13"/>
    </x:row>
    <x:row r="174" ht="23" customHeight="1">
      <x:c r="A174" s="12" t="n">
        <x:v>2</x:v>
      </x:c>
      <x:c r="B174" s="12" t="str">
        <x:v>OR-069</x:v>
      </x:c>
      <x:c r="C174" s="12" t="str">
        <x:v>AP</x:v>
      </x:c>
      <x:c r="D174" s="12" t="str">
        <x:v>Others</x:v>
      </x:c>
      <x:c r="E174" s="12" t="str">
        <x:v>Others</x:v>
      </x:c>
      <x:c r="F174" s="12" t="str">
        <x:v>AP</x:v>
      </x:c>
      <x:c r="G174" s="12" t="n">
        <x:v>1</x:v>
      </x:c>
      <x:c r="H174" s="12"/>
      <x:c r="I174" s="12" t="n">
        <x:v>1</x:v>
      </x:c>
      <x:c r="J174" s="12" t="n">
        <x:v>1</x:v>
      </x:c>
      <x:c r="K174" s="10" t="n">
        <x:v>4903</x:v>
      </x:c>
      <x:c r="L174" s="10" t="n">
        <x:v>4903</x:v>
      </x:c>
      <x:c r="M174" s="10" t="n">
        <x:v>0</x:v>
      </x:c>
      <x:c r="N174" s="11" t="n">
        <x:v>0</x:v>
      </x:c>
      <x:c r="O174" s="2" t="str">
        <x:v>目标匹配</x:v>
      </x:c>
      <x:c r="P174" s="2" t="str">
        <x:v>completed</x:v>
      </x:c>
      <x:c r="Q174" s="2"/>
      <x:c r="R174" s="2" t="str">
        <x:v>TP,NRM,RA,FLP,Mixture,Others</x:v>
      </x:c>
      <x:c r="S174" s="13"/>
    </x:row>
    <x:row r="175" ht="23" customHeight="1">
      <x:c r="A175" s="12" t="n">
        <x:v>2</x:v>
      </x:c>
      <x:c r="B175" s="12" t="str">
        <x:v>OR-070</x:v>
      </x:c>
      <x:c r="C175" s="12" t="str">
        <x:v>AP</x:v>
      </x:c>
      <x:c r="D175" s="12" t="str">
        <x:v>Others</x:v>
      </x:c>
      <x:c r="E175" s="12" t="str">
        <x:v>Others</x:v>
      </x:c>
      <x:c r="F175" s="12" t="str">
        <x:v>AP</x:v>
      </x:c>
      <x:c r="G175" s="12" t="n">
        <x:v>1</x:v>
      </x:c>
      <x:c r="H175" s="12"/>
      <x:c r="I175" s="12" t="n">
        <x:v>1</x:v>
      </x:c>
      <x:c r="J175" s="12" t="n">
        <x:v>1</x:v>
      </x:c>
      <x:c r="K175" s="10" t="n">
        <x:v>8809</x:v>
      </x:c>
      <x:c r="L175" s="10" t="n">
        <x:v>8809</x:v>
      </x:c>
      <x:c r="M175" s="10" t="n">
        <x:v>0</x:v>
      </x:c>
      <x:c r="N175" s="11" t="n">
        <x:v>0</x:v>
      </x:c>
      <x:c r="O175" s="2" t="str">
        <x:v>目标匹配</x:v>
      </x:c>
      <x:c r="P175" s="2" t="str">
        <x:v>completed</x:v>
      </x:c>
      <x:c r="Q175" s="2"/>
      <x:c r="R175" s="2" t="str">
        <x:v>TP,NRM,RA,FLP,Mixture,Others</x:v>
      </x:c>
      <x:c r="S175" s="13"/>
    </x:row>
    <x:row r="176" ht="23" customHeight="1">
      <x:c r="A176" s="12" t="n">
        <x:v>2</x:v>
      </x:c>
      <x:c r="B176" s="12" t="str">
        <x:v>OR-071</x:v>
      </x:c>
      <x:c r="C176" s="12" t="str">
        <x:v>Mixture</x:v>
      </x:c>
      <x:c r="D176" s="12" t="str">
        <x:v>RA</x:v>
      </x:c>
      <x:c r="E176" s="12" t="str">
        <x:v>RA</x:v>
      </x:c>
      <x:c r="F176" s="12" t="str">
        <x:v>Others</x:v>
      </x:c>
      <x:c r="G176" s="12" t="n">
        <x:v>1</x:v>
      </x:c>
      <x:c r="H176" s="12"/>
      <x:c r="I176" s="12" t="n">
        <x:v>1</x:v>
      </x:c>
      <x:c r="J176" s="12" t="n">
        <x:v>1</x:v>
      </x:c>
      <x:c r="K176" s="10" t="n">
        <x:v>24877.394636015328</x:v>
      </x:c>
      <x:c r="L176" s="10" t="n">
        <x:v>24877.39</x:v>
      </x:c>
      <x:c r="M176" s="10" t="n">
        <x:v>0.004636015328287613</x:v>
      </x:c>
      <x:c r="N176" s="11" t="n">
        <x:v>1.8635457048700096e-7</x:v>
      </x:c>
      <x:c r="O176" s="2" t="str">
        <x:v>目标匹配</x:v>
      </x:c>
      <x:c r="P176" s="2" t="str">
        <x:v>completed</x:v>
      </x:c>
      <x:c r="Q176" s="2"/>
      <x:c r="R176" s="2" t="str">
        <x:v>TP,NRM,RA,FLP,AP</x:v>
      </x:c>
      <x:c r="S176" s="13"/>
    </x:row>
    <x:row r="177" ht="23" customHeight="1">
      <x:c r="A177" s="12" t="n">
        <x:v>2</x:v>
      </x:c>
      <x:c r="B177" s="12" t="str">
        <x:v>OR-072</x:v>
      </x:c>
      <x:c r="C177" s="12" t="str">
        <x:v>Others</x:v>
      </x:c>
      <x:c r="D177" s="12" t="str">
        <x:v>RA</x:v>
      </x:c>
      <x:c r="E177" s="12" t="str">
        <x:v>RA</x:v>
      </x:c>
      <x:c r="F177" s="12" t="str">
        <x:v>Others</x:v>
      </x:c>
      <x:c r="G177" s="12" t="n">
        <x:v>1</x:v>
      </x:c>
      <x:c r="H177" s="12"/>
      <x:c r="I177" s="12" t="n">
        <x:v>1</x:v>
      </x:c>
      <x:c r="J177" s="12" t="n">
        <x:v>1</x:v>
      </x:c>
      <x:c r="K177" s="10" t="n">
        <x:v>320</x:v>
      </x:c>
      <x:c r="L177" s="10" t="n">
        <x:v>320</x:v>
      </x:c>
      <x:c r="M177" s="10" t="n">
        <x:v>0</x:v>
      </x:c>
      <x:c r="N177" s="11" t="n">
        <x:v>0</x:v>
      </x:c>
      <x:c r="O177" s="2" t="str">
        <x:v>目标匹配</x:v>
      </x:c>
      <x:c r="P177" s="2" t="str">
        <x:v>completed</x:v>
      </x:c>
      <x:c r="Q177" s="2"/>
      <x:c r="R177" s="2" t="str">
        <x:v>TP,NRM,RA,FLP,AP</x:v>
      </x:c>
      <x:c r="S177" s="13"/>
    </x:row>
    <x:row r="178" ht="23" customHeight="1">
      <x:c r="A178" s="12" t="n">
        <x:v>2</x:v>
      </x:c>
      <x:c r="B178" s="12" t="str">
        <x:v>OR-073</x:v>
      </x:c>
      <x:c r="C178" s="12" t="str">
        <x:v>Mixture</x:v>
      </x:c>
      <x:c r="D178" s="12" t="str">
        <x:v>RA</x:v>
      </x:c>
      <x:c r="E178" s="12" t="str">
        <x:v>RA</x:v>
      </x:c>
      <x:c r="F178" s="12" t="str">
        <x:v>Others</x:v>
      </x:c>
      <x:c r="G178" s="12" t="n">
        <x:v>1</x:v>
      </x:c>
      <x:c r="H178" s="12"/>
      <x:c r="I178" s="12" t="n">
        <x:v>1</x:v>
      </x:c>
      <x:c r="J178" s="12" t="n">
        <x:v>0</x:v>
      </x:c>
      <x:c r="K178" s="10" t="n">
        <x:v>2480.6953201970446</x:v>
      </x:c>
      <x:c r="L178" s="10" t="n">
        <x:v>1146.57</x:v>
      </x:c>
      <x:c r="M178" s="10" t="n">
        <x:v>1334.1253201970446</x:v>
      </x:c>
      <x:c r="N178" s="11" t="n">
        <x:v>1.1635794763486265</x:v>
      </x:c>
      <x:c r="O178" s="2" t="str">
        <x:v>已求解但目标不匹配</x:v>
      </x:c>
      <x:c r="P178" s="2" t="str">
        <x:v>completed</x:v>
      </x:c>
      <x:c r="Q178" s="2"/>
      <x:c r="R178" s="2" t="str">
        <x:v>TP,NRM,RA,FLP,AP</x:v>
      </x:c>
      <x:c r="S178" s="13"/>
    </x:row>
    <x:row r="179" ht="23" customHeight="1">
      <x:c r="A179" s="12" t="n">
        <x:v>2</x:v>
      </x:c>
      <x:c r="B179" s="12" t="str">
        <x:v>OR-074</x:v>
      </x:c>
      <x:c r="C179" s="12" t="str">
        <x:v>Others</x:v>
      </x:c>
      <x:c r="D179" s="12" t="str">
        <x:v>RA</x:v>
      </x:c>
      <x:c r="E179" s="12" t="str">
        <x:v>RA</x:v>
      </x:c>
      <x:c r="F179" s="12" t="str">
        <x:v>Others</x:v>
      </x:c>
      <x:c r="G179" s="12" t="n">
        <x:v>1</x:v>
      </x:c>
      <x:c r="H179" s="12"/>
      <x:c r="I179" s="12" t="n">
        <x:v>1</x:v>
      </x:c>
      <x:c r="J179" s="12" t="n">
        <x:v>1</x:v>
      </x:c>
      <x:c r="K179" s="10" t="n">
        <x:v>25</x:v>
      </x:c>
      <x:c r="L179" s="10" t="n">
        <x:v>25</x:v>
      </x:c>
      <x:c r="M179" s="10" t="n">
        <x:v>0</x:v>
      </x:c>
      <x:c r="N179" s="11" t="n">
        <x:v>0</x:v>
      </x:c>
      <x:c r="O179" s="2" t="str">
        <x:v>目标匹配</x:v>
      </x:c>
      <x:c r="P179" s="2" t="str">
        <x:v>completed</x:v>
      </x:c>
      <x:c r="Q179" s="2"/>
      <x:c r="R179" s="2" t="str">
        <x:v>TP,NRM,RA,FLP,AP</x:v>
      </x:c>
      <x:c r="S179" s="13"/>
    </x:row>
    <x:row r="180" ht="23" customHeight="1">
      <x:c r="A180" s="12" t="n">
        <x:v>2</x:v>
      </x:c>
      <x:c r="B180" s="12" t="str">
        <x:v>OR-075</x:v>
      </x:c>
      <x:c r="C180" s="12" t="str">
        <x:v>Mixture</x:v>
      </x:c>
      <x:c r="D180" s="12" t="str">
        <x:v>RA</x:v>
      </x:c>
      <x:c r="E180" s="12" t="str">
        <x:v>RA</x:v>
      </x:c>
      <x:c r="F180" s="12" t="str">
        <x:v>Others</x:v>
      </x:c>
      <x:c r="G180" s="12" t="n">
        <x:v>1</x:v>
      </x:c>
      <x:c r="H180" s="12"/>
      <x:c r="I180" s="12" t="n">
        <x:v>1</x:v>
      </x:c>
      <x:c r="J180" s="12" t="n">
        <x:v>1</x:v>
      </x:c>
      <x:c r="K180" s="10" t="n">
        <x:v>1514</x:v>
      </x:c>
      <x:c r="L180" s="10" t="n">
        <x:v>1514</x:v>
      </x:c>
      <x:c r="M180" s="10" t="n">
        <x:v>0</x:v>
      </x:c>
      <x:c r="N180" s="11" t="n">
        <x:v>0</x:v>
      </x:c>
      <x:c r="O180" s="2" t="str">
        <x:v>目标匹配</x:v>
      </x:c>
      <x:c r="P180" s="2" t="str">
        <x:v>completed</x:v>
      </x:c>
      <x:c r="Q180" s="2"/>
      <x:c r="R180" s="2" t="str">
        <x:v>TP,NRM,RA,FLP,AP</x:v>
      </x:c>
      <x:c r="S180" s="13"/>
    </x:row>
    <x:row r="181" ht="23" customHeight="1">
      <x:c r="A181" s="12" t="n">
        <x:v>2</x:v>
      </x:c>
      <x:c r="B181" s="12" t="str">
        <x:v>OR-076</x:v>
      </x:c>
      <x:c r="C181" s="12" t="str">
        <x:v>FLP</x:v>
      </x:c>
      <x:c r="D181" s="12" t="str">
        <x:v>Mixture</x:v>
      </x:c>
      <x:c r="E181" s="12" t="str">
        <x:v>Others</x:v>
      </x:c>
      <x:c r="F181" s="12" t="str">
        <x:v>FLP</x:v>
      </x:c>
      <x:c r="G181" s="12" t="n">
        <x:v>1</x:v>
      </x:c>
      <x:c r="H181" s="12"/>
      <x:c r="I181" s="12" t="n">
        <x:v>1</x:v>
      </x:c>
      <x:c r="J181" s="12" t="n">
        <x:v>1</x:v>
      </x:c>
      <x:c r="K181" s="10" t="n">
        <x:v>103090</x:v>
      </x:c>
      <x:c r="L181" s="10" t="n">
        <x:v>103090</x:v>
      </x:c>
      <x:c r="M181" s="10" t="n">
        <x:v>0</x:v>
      </x:c>
      <x:c r="N181" s="11" t="n">
        <x:v>0</x:v>
      </x:c>
      <x:c r="O181" s="2" t="str">
        <x:v>目标匹配</x:v>
      </x:c>
      <x:c r="P181" s="2" t="str">
        <x:v>completed</x:v>
      </x:c>
      <x:c r="Q181" s="2"/>
      <x:c r="R181" s="2" t="str">
        <x:v>TP,NRM,RA,AP,Mixture,Others</x:v>
      </x:c>
      <x:c r="S181" s="13"/>
    </x:row>
    <x:row r="182" ht="23" customHeight="1">
      <x:c r="A182" s="12" t="n">
        <x:v>2</x:v>
      </x:c>
      <x:c r="B182" s="12" t="str">
        <x:v>OR-077</x:v>
      </x:c>
      <x:c r="C182" s="12" t="str">
        <x:v>Others</x:v>
      </x:c>
      <x:c r="D182" s="12" t="str">
        <x:v>RA</x:v>
      </x:c>
      <x:c r="E182" s="12" t="str">
        <x:v>RA</x:v>
      </x:c>
      <x:c r="F182" s="12" t="str">
        <x:v>Others</x:v>
      </x:c>
      <x:c r="G182" s="12" t="n">
        <x:v>1</x:v>
      </x:c>
      <x:c r="H182" s="12"/>
      <x:c r="I182" s="12" t="n">
        <x:v>1</x:v>
      </x:c>
      <x:c r="J182" s="12" t="n">
        <x:v>1</x:v>
      </x:c>
      <x:c r="K182" s="10" t="n">
        <x:v>133</x:v>
      </x:c>
      <x:c r="L182" s="10" t="n">
        <x:v>133</x:v>
      </x:c>
      <x:c r="M182" s="10" t="n">
        <x:v>0</x:v>
      </x:c>
      <x:c r="N182" s="11" t="n">
        <x:v>0</x:v>
      </x:c>
      <x:c r="O182" s="2" t="str">
        <x:v>目标匹配</x:v>
      </x:c>
      <x:c r="P182" s="2" t="str">
        <x:v>completed</x:v>
      </x:c>
      <x:c r="Q182" s="2"/>
      <x:c r="R182" s="2" t="str">
        <x:v>TP,NRM,RA,FLP,AP</x:v>
      </x:c>
      <x:c r="S182" s="13"/>
    </x:row>
    <x:row r="183" ht="23" customHeight="1">
      <x:c r="A183" s="12" t="n">
        <x:v>2</x:v>
      </x:c>
      <x:c r="B183" s="12" t="str">
        <x:v>OR-078</x:v>
      </x:c>
      <x:c r="C183" s="12" t="str">
        <x:v>Mixture</x:v>
      </x:c>
      <x:c r="D183" s="12" t="str">
        <x:v>RA</x:v>
      </x:c>
      <x:c r="E183" s="12" t="str">
        <x:v>RA</x:v>
      </x:c>
      <x:c r="F183" s="12" t="str">
        <x:v>Others</x:v>
      </x:c>
      <x:c r="G183" s="12" t="n">
        <x:v>1</x:v>
      </x:c>
      <x:c r="H183" s="12"/>
      <x:c r="I183" s="12" t="n">
        <x:v>1</x:v>
      </x:c>
      <x:c r="J183" s="12" t="n">
        <x:v>1</x:v>
      </x:c>
      <x:c r="K183" s="10" t="n">
        <x:v>152.76</x:v>
      </x:c>
      <x:c r="L183" s="10" t="n">
        <x:v>152.76</x:v>
      </x:c>
      <x:c r="M183" s="10" t="n">
        <x:v>0</x:v>
      </x:c>
      <x:c r="N183" s="11" t="n">
        <x:v>0</x:v>
      </x:c>
      <x:c r="O183" s="2" t="str">
        <x:v>目标匹配</x:v>
      </x:c>
      <x:c r="P183" s="2" t="str">
        <x:v>completed</x:v>
      </x:c>
      <x:c r="Q183" s="2"/>
      <x:c r="R183" s="2" t="str">
        <x:v>TP,NRM,RA,FLP,AP</x:v>
      </x:c>
      <x:c r="S183" s="13"/>
    </x:row>
    <x:row r="184" ht="23" customHeight="1">
      <x:c r="A184" s="12" t="n">
        <x:v>2</x:v>
      </x:c>
      <x:c r="B184" s="12" t="str">
        <x:v>OR-079</x:v>
      </x:c>
      <x:c r="C184" s="12" t="str">
        <x:v>FLP</x:v>
      </x:c>
      <x:c r="D184" s="12" t="str">
        <x:v>Mixture</x:v>
      </x:c>
      <x:c r="E184" s="12" t="str">
        <x:v>Others</x:v>
      </x:c>
      <x:c r="F184" s="12" t="str">
        <x:v>FLP</x:v>
      </x:c>
      <x:c r="G184" s="12" t="n">
        <x:v>1</x:v>
      </x:c>
      <x:c r="H184" s="12"/>
      <x:c r="I184" s="12" t="n">
        <x:v>1</x:v>
      </x:c>
      <x:c r="J184" s="12" t="n">
        <x:v>1</x:v>
      </x:c>
      <x:c r="K184" s="10" t="n">
        <x:v>2965</x:v>
      </x:c>
      <x:c r="L184" s="10" t="n">
        <x:v>2965</x:v>
      </x:c>
      <x:c r="M184" s="10" t="n">
        <x:v>0</x:v>
      </x:c>
      <x:c r="N184" s="11" t="n">
        <x:v>0</x:v>
      </x:c>
      <x:c r="O184" s="2" t="str">
        <x:v>目标匹配</x:v>
      </x:c>
      <x:c r="P184" s="2" t="str">
        <x:v>completed</x:v>
      </x:c>
      <x:c r="Q184" s="2"/>
      <x:c r="R184" s="2" t="str">
        <x:v>TP,NRM,RA,AP,Mixture,Others</x:v>
      </x:c>
      <x:c r="S184" s="13"/>
    </x:row>
    <x:row r="185" ht="23" customHeight="1">
      <x:c r="A185" s="12" t="n">
        <x:v>2</x:v>
      </x:c>
      <x:c r="B185" s="12" t="str">
        <x:v>OR-080</x:v>
      </x:c>
      <x:c r="C185" s="12" t="str">
        <x:v>Mixture</x:v>
      </x:c>
      <x:c r="D185" s="12" t="str">
        <x:v>TP</x:v>
      </x:c>
      <x:c r="E185" s="12" t="str">
        <x:v>TP</x:v>
      </x:c>
      <x:c r="F185" s="12" t="str">
        <x:v>Others</x:v>
      </x:c>
      <x:c r="G185" s="12" t="n">
        <x:v>1</x:v>
      </x:c>
      <x:c r="H185" s="12"/>
      <x:c r="I185" s="12" t="n">
        <x:v>1</x:v>
      </x:c>
      <x:c r="J185" s="12" t="n">
        <x:v>0</x:v>
      </x:c>
      <x:c r="K185" s="10" t="n">
        <x:v>15590</x:v>
      </x:c>
      <x:c r="L185" s="10" t="n">
        <x:v>14300</x:v>
      </x:c>
      <x:c r="M185" s="10" t="n">
        <x:v>1290</x:v>
      </x:c>
      <x:c r="N185" s="11" t="n">
        <x:v>0.09020979020979021</x:v>
      </x:c>
      <x:c r="O185" s="2" t="str">
        <x:v>已求解但目标不匹配</x:v>
      </x:c>
      <x:c r="P185" s="2" t="str">
        <x:v>completed</x:v>
      </x:c>
      <x:c r="Q185" s="2"/>
      <x:c r="R185" s="2" t="str">
        <x:v>TP,NRM,RA,FLP,AP</x:v>
      </x:c>
      <x:c r="S185" s="13"/>
    </x:row>
    <x:row r="186" ht="23" customHeight="1">
      <x:c r="A186" s="12" t="n">
        <x:v>2</x:v>
      </x:c>
      <x:c r="B186" s="12" t="str">
        <x:v>OR-081</x:v>
      </x:c>
      <x:c r="C186" s="12" t="str">
        <x:v>Others</x:v>
      </x:c>
      <x:c r="D186" s="12" t="str">
        <x:v>RA</x:v>
      </x:c>
      <x:c r="E186" s="12" t="str">
        <x:v>RA</x:v>
      </x:c>
      <x:c r="F186" s="12" t="str">
        <x:v>Others</x:v>
      </x:c>
      <x:c r="G186" s="12" t="n">
        <x:v>1</x:v>
      </x:c>
      <x:c r="H186" s="12"/>
      <x:c r="I186" s="12" t="n">
        <x:v>1</x:v>
      </x:c>
      <x:c r="J186" s="12" t="n">
        <x:v>1</x:v>
      </x:c>
      <x:c r="K186" s="10" t="n">
        <x:v>3.910164341169253</x:v>
      </x:c>
      <x:c r="L186" s="10" t="n">
        <x:v>3.91</x:v>
      </x:c>
      <x:c r="M186" s="10" t="n">
        <x:v>0.00016434116925267972</x:v>
      </x:c>
      <x:c r="N186" s="11" t="n">
        <x:v>0.000042030989578690465</x:v>
      </x:c>
      <x:c r="O186" s="2" t="str">
        <x:v>目标匹配</x:v>
      </x:c>
      <x:c r="P186" s="2" t="str">
        <x:v>completed</x:v>
      </x:c>
      <x:c r="Q186" s="2"/>
      <x:c r="R186" s="2" t="str">
        <x:v>TP,NRM,RA,FLP,AP</x:v>
      </x:c>
      <x:c r="S186" s="13"/>
    </x:row>
    <x:row r="187" ht="23" customHeight="1">
      <x:c r="A187" s="12" t="n">
        <x:v>2</x:v>
      </x:c>
      <x:c r="B187" s="12" t="str">
        <x:v>OR-082</x:v>
      </x:c>
      <x:c r="C187" s="12" t="str">
        <x:v>Others</x:v>
      </x:c>
      <x:c r="D187" s="12" t="str">
        <x:v>TP</x:v>
      </x:c>
      <x:c r="E187" s="12" t="str">
        <x:v>TP</x:v>
      </x:c>
      <x:c r="F187" s="12" t="str">
        <x:v>Others</x:v>
      </x:c>
      <x:c r="G187" s="12" t="n">
        <x:v>1</x:v>
      </x:c>
      <x:c r="H187" s="12"/>
      <x:c r="I187" s="12" t="n">
        <x:v>1</x:v>
      </x:c>
      <x:c r="J187" s="12" t="n">
        <x:v>1</x:v>
      </x:c>
      <x:c r="K187" s="10" t="n">
        <x:v>199</x:v>
      </x:c>
      <x:c r="L187" s="10" t="n">
        <x:v>199</x:v>
      </x:c>
      <x:c r="M187" s="10" t="n">
        <x:v>0</x:v>
      </x:c>
      <x:c r="N187" s="11" t="n">
        <x:v>0</x:v>
      </x:c>
      <x:c r="O187" s="2" t="str">
        <x:v>目标匹配</x:v>
      </x:c>
      <x:c r="P187" s="2" t="str">
        <x:v>completed</x:v>
      </x:c>
      <x:c r="Q187" s="2"/>
      <x:c r="R187" s="2" t="str">
        <x:v>TP,NRM,RA,FLP,AP</x:v>
      </x:c>
      <x:c r="S187" s="13"/>
    </x:row>
    <x:row r="188" ht="23" customHeight="1">
      <x:c r="A188" s="12" t="n">
        <x:v>2</x:v>
      </x:c>
      <x:c r="B188" s="12" t="str">
        <x:v>OR-083</x:v>
      </x:c>
      <x:c r="C188" s="12" t="str">
        <x:v>Mixture</x:v>
      </x:c>
      <x:c r="D188" s="12" t="str">
        <x:v>AP</x:v>
      </x:c>
      <x:c r="E188" s="12" t="str">
        <x:v>AP</x:v>
      </x:c>
      <x:c r="F188" s="12" t="str">
        <x:v>Others</x:v>
      </x:c>
      <x:c r="G188" s="12" t="n">
        <x:v>1</x:v>
      </x:c>
      <x:c r="H188" s="12"/>
      <x:c r="I188" s="12" t="n">
        <x:v>1</x:v>
      </x:c>
      <x:c r="J188" s="12" t="n">
        <x:v>1</x:v>
      </x:c>
      <x:c r="K188" s="10" t="n">
        <x:v>34</x:v>
      </x:c>
      <x:c r="L188" s="10" t="n">
        <x:v>34</x:v>
      </x:c>
      <x:c r="M188" s="10" t="n">
        <x:v>0</x:v>
      </x:c>
      <x:c r="N188" s="11" t="n">
        <x:v>0</x:v>
      </x:c>
      <x:c r="O188" s="2" t="str">
        <x:v>目标匹配</x:v>
      </x:c>
      <x:c r="P188" s="2" t="str">
        <x:v>completed</x:v>
      </x:c>
      <x:c r="Q188" s="2"/>
      <x:c r="R188" s="2" t="str">
        <x:v>TP,NRM,RA,FLP,AP</x:v>
      </x:c>
      <x:c r="S188" s="13"/>
    </x:row>
    <x:row r="189" ht="23" customHeight="1">
      <x:c r="A189" s="12" t="n">
        <x:v>2</x:v>
      </x:c>
      <x:c r="B189" s="12" t="str">
        <x:v>OR-084</x:v>
      </x:c>
      <x:c r="C189" s="12" t="str">
        <x:v>Others</x:v>
      </x:c>
      <x:c r="D189" s="12" t="str">
        <x:v>AP</x:v>
      </x:c>
      <x:c r="E189" s="12" t="str">
        <x:v>AP</x:v>
      </x:c>
      <x:c r="F189" s="12" t="str">
        <x:v>Others</x:v>
      </x:c>
      <x:c r="G189" s="12" t="n">
        <x:v>1</x:v>
      </x:c>
      <x:c r="H189" s="12"/>
      <x:c r="I189" s="12" t="n">
        <x:v>1</x:v>
      </x:c>
      <x:c r="J189" s="12" t="n">
        <x:v>1</x:v>
      </x:c>
      <x:c r="K189" s="10" t="n">
        <x:v>22.85</x:v>
      </x:c>
      <x:c r="L189" s="10" t="n">
        <x:v>22.85</x:v>
      </x:c>
      <x:c r="M189" s="10" t="n">
        <x:v>0</x:v>
      </x:c>
      <x:c r="N189" s="11" t="n">
        <x:v>0</x:v>
      </x:c>
      <x:c r="O189" s="2" t="str">
        <x:v>目标匹配</x:v>
      </x:c>
      <x:c r="P189" s="2" t="str">
        <x:v>completed</x:v>
      </x:c>
      <x:c r="Q189" s="2"/>
      <x:c r="R189" s="2" t="str">
        <x:v>TP,NRM,RA,FLP,AP</x:v>
      </x:c>
      <x:c r="S189" s="13"/>
    </x:row>
    <x:row r="190" ht="23" customHeight="1">
      <x:c r="A190" s="12" t="n">
        <x:v>2</x:v>
      </x:c>
      <x:c r="B190" s="12" t="str">
        <x:v>OR-085</x:v>
      </x:c>
      <x:c r="C190" s="12" t="str">
        <x:v>Others</x:v>
      </x:c>
      <x:c r="D190" s="12" t="str">
        <x:v>AP</x:v>
      </x:c>
      <x:c r="E190" s="12" t="str">
        <x:v>AP</x:v>
      </x:c>
      <x:c r="F190" s="12" t="str">
        <x:v>Others</x:v>
      </x:c>
      <x:c r="G190" s="12" t="n">
        <x:v>1</x:v>
      </x:c>
      <x:c r="H190" s="12"/>
      <x:c r="I190" s="12" t="n">
        <x:v>1</x:v>
      </x:c>
      <x:c r="J190" s="12" t="n">
        <x:v>0</x:v>
      </x:c>
      <x:c r="K190" s="10" t="n">
        <x:v>296</x:v>
      </x:c>
      <x:c r="L190" s="10" t="n">
        <x:v>419</x:v>
      </x:c>
      <x:c r="M190" s="10" t="n">
        <x:v>123</x:v>
      </x:c>
      <x:c r="N190" s="11" t="n">
        <x:v>0.2935560859188544</x:v>
      </x:c>
      <x:c r="O190" s="2" t="str">
        <x:v>已求解但目标不匹配</x:v>
      </x:c>
      <x:c r="P190" s="2" t="str">
        <x:v>completed</x:v>
      </x:c>
      <x:c r="Q190" s="2"/>
      <x:c r="R190" s="2" t="str">
        <x:v>TP,NRM,RA,FLP,AP</x:v>
      </x:c>
      <x:c r="S190" s="13"/>
    </x:row>
    <x:row r="191" ht="23" customHeight="1">
      <x:c r="A191" s="12" t="n">
        <x:v>2</x:v>
      </x:c>
      <x:c r="B191" s="12" t="str">
        <x:v>OR-086</x:v>
      </x:c>
      <x:c r="C191" s="12" t="str">
        <x:v>Mixture</x:v>
      </x:c>
      <x:c r="D191" s="12" t="str">
        <x:v>RA</x:v>
      </x:c>
      <x:c r="E191" s="12" t="str">
        <x:v>RA</x:v>
      </x:c>
      <x:c r="F191" s="12" t="str">
        <x:v>Others</x:v>
      </x:c>
      <x:c r="G191" s="12" t="n">
        <x:v>1</x:v>
      </x:c>
      <x:c r="H191" s="12"/>
      <x:c r="I191" s="12" t="n">
        <x:v>1</x:v>
      </x:c>
      <x:c r="J191" s="12" t="n">
        <x:v>1</x:v>
      </x:c>
      <x:c r="K191" s="10" t="n">
        <x:v>4500</x:v>
      </x:c>
      <x:c r="L191" s="10" t="n">
        <x:v>4500</x:v>
      </x:c>
      <x:c r="M191" s="10" t="n">
        <x:v>0</x:v>
      </x:c>
      <x:c r="N191" s="11" t="n">
        <x:v>0</x:v>
      </x:c>
      <x:c r="O191" s="2" t="str">
        <x:v>目标匹配</x:v>
      </x:c>
      <x:c r="P191" s="2" t="str">
        <x:v>completed</x:v>
      </x:c>
      <x:c r="Q191" s="2"/>
      <x:c r="R191" s="2" t="str">
        <x:v>TP,NRM,RA,FLP,AP</x:v>
      </x:c>
      <x:c r="S191" s="13"/>
    </x:row>
    <x:row r="192" ht="23" customHeight="1">
      <x:c r="A192" s="12" t="n">
        <x:v>2</x:v>
      </x:c>
      <x:c r="B192" s="12" t="str">
        <x:v>OR-087</x:v>
      </x:c>
      <x:c r="C192" s="12" t="str">
        <x:v>Mixture</x:v>
      </x:c>
      <x:c r="D192" s="12" t="str">
        <x:v>RA</x:v>
      </x:c>
      <x:c r="E192" s="12" t="str">
        <x:v>RA</x:v>
      </x:c>
      <x:c r="F192" s="12" t="str">
        <x:v>Others</x:v>
      </x:c>
      <x:c r="G192" s="12" t="n">
        <x:v>1</x:v>
      </x:c>
      <x:c r="H192" s="12"/>
      <x:c r="I192" s="12" t="n">
        <x:v>1</x:v>
      </x:c>
      <x:c r="J192" s="12" t="n">
        <x:v>1</x:v>
      </x:c>
      <x:c r="K192" s="10" t="n">
        <x:v>6243055.959999999</x:v>
      </x:c>
      <x:c r="L192" s="10" t="n">
        <x:v>6243055.96</x:v>
      </x:c>
      <x:c r="M192" s="10" t="n">
        <x:v>9.313225746154785e-10</x:v>
      </x:c>
      <x:c r="N192" s="11" t="n">
        <x:v>1.491773549016015e-16</x:v>
      </x:c>
      <x:c r="O192" s="2" t="str">
        <x:v>目标匹配</x:v>
      </x:c>
      <x:c r="P192" s="2" t="str">
        <x:v>completed</x:v>
      </x:c>
      <x:c r="Q192" s="2"/>
      <x:c r="R192" s="2" t="str">
        <x:v>TP,NRM,RA,FLP,AP</x:v>
      </x:c>
      <x:c r="S192" s="13"/>
    </x:row>
    <x:row r="193" ht="23" customHeight="1">
      <x:c r="A193" s="12" t="n">
        <x:v>2</x:v>
      </x:c>
      <x:c r="B193" s="12" t="str">
        <x:v>OR-088</x:v>
      </x:c>
      <x:c r="C193" s="12" t="str">
        <x:v>FLP</x:v>
      </x:c>
      <x:c r="D193" s="12" t="str">
        <x:v>Mixture</x:v>
      </x:c>
      <x:c r="E193" s="12" t="str">
        <x:v>Others</x:v>
      </x:c>
      <x:c r="F193" s="12" t="str">
        <x:v>FLP</x:v>
      </x:c>
      <x:c r="G193" s="12" t="n">
        <x:v>1</x:v>
      </x:c>
      <x:c r="H193" s="12"/>
      <x:c r="I193" s="12" t="n">
        <x:v>1</x:v>
      </x:c>
      <x:c r="J193" s="12" t="n">
        <x:v>1</x:v>
      </x:c>
      <x:c r="K193" s="10" t="n">
        <x:v>150992.5</x:v>
      </x:c>
      <x:c r="L193" s="10" t="n">
        <x:v>150992.5</x:v>
      </x:c>
      <x:c r="M193" s="10" t="n">
        <x:v>0</x:v>
      </x:c>
      <x:c r="N193" s="11" t="n">
        <x:v>0</x:v>
      </x:c>
      <x:c r="O193" s="2" t="str">
        <x:v>目标匹配</x:v>
      </x:c>
      <x:c r="P193" s="2" t="str">
        <x:v>completed</x:v>
      </x:c>
      <x:c r="Q193" s="2"/>
      <x:c r="R193" s="2" t="str">
        <x:v>TP,NRM,RA,AP,Mixture,Others</x:v>
      </x:c>
      <x:c r="S193" s="13"/>
    </x:row>
    <x:row r="194" ht="23" customHeight="1">
      <x:c r="A194" s="12" t="n">
        <x:v>2</x:v>
      </x:c>
      <x:c r="B194" s="12" t="str">
        <x:v>OR-089</x:v>
      </x:c>
      <x:c r="C194" s="12" t="str">
        <x:v>FLP</x:v>
      </x:c>
      <x:c r="D194" s="12" t="str">
        <x:v>Mixture</x:v>
      </x:c>
      <x:c r="E194" s="12" t="str">
        <x:v>Others</x:v>
      </x:c>
      <x:c r="F194" s="12" t="str">
        <x:v>FLP</x:v>
      </x:c>
      <x:c r="G194" s="12" t="n">
        <x:v>1</x:v>
      </x:c>
      <x:c r="H194" s="12"/>
      <x:c r="I194" s="12" t="n">
        <x:v>1</x:v>
      </x:c>
      <x:c r="J194" s="12" t="n">
        <x:v>1</x:v>
      </x:c>
      <x:c r="K194" s="10" t="n">
        <x:v>1555.4999999999993</x:v>
      </x:c>
      <x:c r="L194" s="10" t="n">
        <x:v>1555.5</x:v>
      </x:c>
      <x:c r="M194" s="10" t="n">
        <x:v>6.821210263296962e-13</x:v>
      </x:c>
      <x:c r="N194" s="11" t="n">
        <x:v>4.385220355703608e-16</x:v>
      </x:c>
      <x:c r="O194" s="2" t="str">
        <x:v>目标匹配</x:v>
      </x:c>
      <x:c r="P194" s="2" t="str">
        <x:v>completed</x:v>
      </x:c>
      <x:c r="Q194" s="2"/>
      <x:c r="R194" s="2" t="str">
        <x:v>TP,NRM,RA,AP,Mixture,Others</x:v>
      </x:c>
      <x:c r="S194" s="13"/>
    </x:row>
    <x:row r="195" ht="23" customHeight="1">
      <x:c r="A195" s="12" t="n">
        <x:v>2</x:v>
      </x:c>
      <x:c r="B195" s="12" t="str">
        <x:v>OR-090</x:v>
      </x:c>
      <x:c r="C195" s="12" t="str">
        <x:v>Mixture</x:v>
      </x:c>
      <x:c r="D195" s="12" t="str">
        <x:v>RA</x:v>
      </x:c>
      <x:c r="E195" s="12" t="str">
        <x:v>RA</x:v>
      </x:c>
      <x:c r="F195" s="12" t="str">
        <x:v>Others</x:v>
      </x:c>
      <x:c r="G195" s="12" t="n">
        <x:v>1</x:v>
      </x:c>
      <x:c r="H195" s="12"/>
      <x:c r="I195" s="12" t="n">
        <x:v>1</x:v>
      </x:c>
      <x:c r="J195" s="12" t="n">
        <x:v>1</x:v>
      </x:c>
      <x:c r="K195" s="10" t="n">
        <x:v>108657.90000000002</x:v>
      </x:c>
      <x:c r="L195" s="10" t="n">
        <x:v>108657.9</x:v>
      </x:c>
      <x:c r="M195" s="10" t="n">
        <x:v>2.9103830456733704e-11</x:v>
      </x:c>
      <x:c r="N195" s="11" t="n">
        <x:v>2.6784826926283046e-16</x:v>
      </x:c>
      <x:c r="O195" s="2" t="str">
        <x:v>目标匹配</x:v>
      </x:c>
      <x:c r="P195" s="2" t="str">
        <x:v>completed</x:v>
      </x:c>
      <x:c r="Q195" s="2"/>
      <x:c r="R195" s="2" t="str">
        <x:v>TP,NRM,RA,FLP,AP</x:v>
      </x:c>
      <x:c r="S195" s="13"/>
    </x:row>
    <x:row r="196" ht="23" customHeight="1">
      <x:c r="A196" s="12" t="n">
        <x:v>2</x:v>
      </x:c>
      <x:c r="B196" s="12" t="str">
        <x:v>OR-091</x:v>
      </x:c>
      <x:c r="C196" s="12" t="str">
        <x:v>Mixture</x:v>
      </x:c>
      <x:c r="D196" s="12" t="str">
        <x:v>RA</x:v>
      </x:c>
      <x:c r="E196" s="12" t="str">
        <x:v>RA</x:v>
      </x:c>
      <x:c r="F196" s="12" t="str">
        <x:v>Others</x:v>
      </x:c>
      <x:c r="G196" s="12" t="n">
        <x:v>1</x:v>
      </x:c>
      <x:c r="H196" s="12"/>
      <x:c r="I196" s="12" t="n">
        <x:v>1</x:v>
      </x:c>
      <x:c r="J196" s="12" t="n">
        <x:v>1</x:v>
      </x:c>
      <x:c r="K196" s="10" t="n">
        <x:v>421</x:v>
      </x:c>
      <x:c r="L196" s="10" t="n">
        <x:v>421</x:v>
      </x:c>
      <x:c r="M196" s="10" t="n">
        <x:v>0</x:v>
      </x:c>
      <x:c r="N196" s="11" t="n">
        <x:v>0</x:v>
      </x:c>
      <x:c r="O196" s="2" t="str">
        <x:v>目标匹配</x:v>
      </x:c>
      <x:c r="P196" s="2" t="str">
        <x:v>completed</x:v>
      </x:c>
      <x:c r="Q196" s="2"/>
      <x:c r="R196" s="2" t="str">
        <x:v>TP,NRM,RA,FLP,AP</x:v>
      </x:c>
      <x:c r="S196" s="13"/>
    </x:row>
    <x:row r="197" ht="23" customHeight="1">
      <x:c r="A197" s="12" t="n">
        <x:v>2</x:v>
      </x:c>
      <x:c r="B197" s="12" t="str">
        <x:v>OR-092</x:v>
      </x:c>
      <x:c r="C197" s="12" t="str">
        <x:v>Mixture</x:v>
      </x:c>
      <x:c r="D197" s="12" t="str">
        <x:v>TP</x:v>
      </x:c>
      <x:c r="E197" s="12" t="str">
        <x:v>TP</x:v>
      </x:c>
      <x:c r="F197" s="12" t="str">
        <x:v>Others</x:v>
      </x:c>
      <x:c r="G197" s="12" t="n">
        <x:v>1</x:v>
      </x:c>
      <x:c r="H197" s="12"/>
      <x:c r="I197" s="12" t="n">
        <x:v>1</x:v>
      </x:c>
      <x:c r="J197" s="12" t="n">
        <x:v>1</x:v>
      </x:c>
      <x:c r="K197" s="10" t="n">
        <x:v>3148.9299999999994</x:v>
      </x:c>
      <x:c r="L197" s="10" t="n">
        <x:v>3148.93</x:v>
      </x:c>
      <x:c r="M197" s="10" t="n">
        <x:v>4.547473508864641e-13</x:v>
      </x:c>
      <x:c r="N197" s="11" t="n">
        <x:v>1.444132930508027e-16</x:v>
      </x:c>
      <x:c r="O197" s="2" t="str">
        <x:v>目标匹配</x:v>
      </x:c>
      <x:c r="P197" s="2" t="str">
        <x:v>completed</x:v>
      </x:c>
      <x:c r="Q197" s="2"/>
      <x:c r="R197" s="2" t="str">
        <x:v>TP,NRM,RA,FLP,AP</x:v>
      </x:c>
      <x:c r="S197" s="13"/>
    </x:row>
    <x:row r="198" ht="23" customHeight="1">
      <x:c r="A198" s="12" t="n">
        <x:v>2</x:v>
      </x:c>
      <x:c r="B198" s="12" t="str">
        <x:v>OR-093</x:v>
      </x:c>
      <x:c r="C198" s="12" t="str">
        <x:v>AP</x:v>
      </x:c>
      <x:c r="D198" s="12" t="str">
        <x:v>Others</x:v>
      </x:c>
      <x:c r="E198" s="12" t="str">
        <x:v>Others</x:v>
      </x:c>
      <x:c r="F198" s="12" t="str">
        <x:v>AP</x:v>
      </x:c>
      <x:c r="G198" s="12" t="n">
        <x:v>1</x:v>
      </x:c>
      <x:c r="H198" s="12"/>
      <x:c r="I198" s="12" t="n">
        <x:v>1</x:v>
      </x:c>
      <x:c r="J198" s="12" t="n">
        <x:v>1</x:v>
      </x:c>
      <x:c r="K198" s="10" t="n">
        <x:v>1577.6</x:v>
      </x:c>
      <x:c r="L198" s="10" t="n">
        <x:v>1577.6</x:v>
      </x:c>
      <x:c r="M198" s="10" t="n">
        <x:v>0</x:v>
      </x:c>
      <x:c r="N198" s="11" t="n">
        <x:v>0</x:v>
      </x:c>
      <x:c r="O198" s="2" t="str">
        <x:v>目标匹配</x:v>
      </x:c>
      <x:c r="P198" s="2" t="str">
        <x:v>completed</x:v>
      </x:c>
      <x:c r="Q198" s="2"/>
      <x:c r="R198" s="2" t="str">
        <x:v>TP,NRM,RA,FLP,Mixture,Others</x:v>
      </x:c>
      <x:c r="S198" s="13"/>
    </x:row>
    <x:row r="199" ht="23" customHeight="1">
      <x:c r="A199" s="12" t="n">
        <x:v>2</x:v>
      </x:c>
      <x:c r="B199" s="12" t="str">
        <x:v>OR-094</x:v>
      </x:c>
      <x:c r="C199" s="12" t="str">
        <x:v>Mixture</x:v>
      </x:c>
      <x:c r="D199" s="12" t="str">
        <x:v>RA</x:v>
      </x:c>
      <x:c r="E199" s="12" t="str">
        <x:v>RA</x:v>
      </x:c>
      <x:c r="F199" s="12" t="str">
        <x:v>Others</x:v>
      </x:c>
      <x:c r="G199" s="12" t="n">
        <x:v>1</x:v>
      </x:c>
      <x:c r="H199" s="12"/>
      <x:c r="I199" s="12" t="n">
        <x:v>1</x:v>
      </x:c>
      <x:c r="J199" s="12" t="n">
        <x:v>1</x:v>
      </x:c>
      <x:c r="K199" s="10" t="n">
        <x:v>0.6000000000003638</x:v>
      </x:c>
      <x:c r="L199" s="10" t="n">
        <x:v>0.6</x:v>
      </x:c>
      <x:c r="M199" s="10" t="n">
        <x:v>3.638200851696638e-13</x:v>
      </x:c>
      <x:c r="N199" s="11" t="n">
        <x:v>6.063668086161064e-13</x:v>
      </x:c>
      <x:c r="O199" s="2" t="str">
        <x:v>目标匹配</x:v>
      </x:c>
      <x:c r="P199" s="2" t="str">
        <x:v>completed</x:v>
      </x:c>
      <x:c r="Q199" s="2"/>
      <x:c r="R199" s="2" t="str">
        <x:v>TP,NRM,RA,FLP,AP</x:v>
      </x:c>
      <x:c r="S199" s="13"/>
    </x:row>
    <x:row r="200" ht="23" customHeight="1">
      <x:c r="A200" s="12" t="n">
        <x:v>2</x:v>
      </x:c>
      <x:c r="B200" s="12" t="str">
        <x:v>OR-095</x:v>
      </x:c>
      <x:c r="C200" s="12" t="str">
        <x:v>Mixture</x:v>
      </x:c>
      <x:c r="D200" s="12" t="str">
        <x:v>RA</x:v>
      </x:c>
      <x:c r="E200" s="12" t="str">
        <x:v>RA</x:v>
      </x:c>
      <x:c r="F200" s="12" t="str">
        <x:v>Others</x:v>
      </x:c>
      <x:c r="G200" s="12" t="n">
        <x:v>1</x:v>
      </x:c>
      <x:c r="H200" s="12"/>
      <x:c r="I200" s="12" t="n">
        <x:v>0</x:v>
      </x:c>
      <x:c r="J200" s="12" t="n">
        <x:v>0</x:v>
      </x:c>
      <x:c r="K200" s="10"/>
      <x:c r="L200" s="10" t="n">
        <x:v>1344480</x:v>
      </x:c>
      <x:c r="M200" s="10"/>
      <x:c r="N200" s="11"/>
      <x:c r="O200" s="2" t="str">
        <x:v>执行失败</x:v>
      </x:c>
      <x:c r="P200" s="2" t="str">
        <x:v>code_generation</x:v>
      </x:c>
      <x:c r="Q200" s="2" t="str">
        <x:v>ValueError</x:v>
      </x:c>
      <x:c r="R200" s="2" t="str">
        <x:v>TP,NRM,RA,FLP,AP</x:v>
      </x:c>
      <x:c r="S200" s="13"/>
    </x:row>
    <x:row r="201" ht="23" customHeight="1">
      <x:c r="A201" s="12" t="n">
        <x:v>2</x:v>
      </x:c>
      <x:c r="B201" s="12" t="str">
        <x:v>OR-096</x:v>
      </x:c>
      <x:c r="C201" s="12" t="str">
        <x:v>Mixture</x:v>
      </x:c>
      <x:c r="D201" s="12" t="str">
        <x:v>TP</x:v>
      </x:c>
      <x:c r="E201" s="12" t="str">
        <x:v>TP</x:v>
      </x:c>
      <x:c r="F201" s="12" t="str">
        <x:v>Others</x:v>
      </x:c>
      <x:c r="G201" s="12" t="n">
        <x:v>1</x:v>
      </x:c>
      <x:c r="H201" s="12"/>
      <x:c r="I201" s="12" t="n">
        <x:v>0</x:v>
      </x:c>
      <x:c r="J201" s="12" t="n">
        <x:v>0</x:v>
      </x:c>
      <x:c r="K201" s="10"/>
      <x:c r="L201" s="10" t="n">
        <x:v>5044</x:v>
      </x:c>
      <x:c r="M201" s="10"/>
      <x:c r="N201" s="11"/>
      <x:c r="O201" s="2" t="str">
        <x:v>执行失败</x:v>
      </x:c>
      <x:c r="P201" s="2" t="str">
        <x:v>solve</x:v>
      </x:c>
      <x:c r="Q201" s="2" t="str">
        <x:v>ValueError</x:v>
      </x:c>
      <x:c r="R201" s="2" t="str">
        <x:v>TP,NRM,RA,FLP,AP</x:v>
      </x:c>
      <x:c r="S201" s="13"/>
    </x:row>
    <x:row r="202" ht="23" customHeight="1">
      <x:c r="A202" s="12" t="n">
        <x:v>2</x:v>
      </x:c>
      <x:c r="B202" s="12" t="str">
        <x:v>OR-097</x:v>
      </x:c>
      <x:c r="C202" s="12" t="str">
        <x:v>Mixture</x:v>
      </x:c>
      <x:c r="D202" s="12" t="str">
        <x:v>RA</x:v>
      </x:c>
      <x:c r="E202" s="12" t="str">
        <x:v>RA</x:v>
      </x:c>
      <x:c r="F202" s="12" t="str">
        <x:v>Others</x:v>
      </x:c>
      <x:c r="G202" s="12" t="n">
        <x:v>1</x:v>
      </x:c>
      <x:c r="H202" s="12"/>
      <x:c r="I202" s="12" t="n">
        <x:v>1</x:v>
      </x:c>
      <x:c r="J202" s="12" t="n">
        <x:v>1</x:v>
      </x:c>
      <x:c r="K202" s="10" t="n">
        <x:v>6</x:v>
      </x:c>
      <x:c r="L202" s="10" t="n">
        <x:v>6</x:v>
      </x:c>
      <x:c r="M202" s="10" t="n">
        <x:v>0</x:v>
      </x:c>
      <x:c r="N202" s="11" t="n">
        <x:v>0</x:v>
      </x:c>
      <x:c r="O202" s="2" t="str">
        <x:v>目标匹配</x:v>
      </x:c>
      <x:c r="P202" s="2" t="str">
        <x:v>completed</x:v>
      </x:c>
      <x:c r="Q202" s="2"/>
      <x:c r="R202" s="2" t="str">
        <x:v>TP,NRM,RA,FLP,AP</x:v>
      </x:c>
      <x:c r="S202" s="13"/>
    </x:row>
    <x:row r="203" ht="23" customHeight="1">
      <x:c r="A203" s="12" t="n">
        <x:v>2</x:v>
      </x:c>
      <x:c r="B203" s="12" t="str">
        <x:v>OR-098</x:v>
      </x:c>
      <x:c r="C203" s="12" t="str">
        <x:v>Mixture</x:v>
      </x:c>
      <x:c r="D203" s="12" t="str">
        <x:v>AP</x:v>
      </x:c>
      <x:c r="E203" s="12" t="str">
        <x:v>AP</x:v>
      </x:c>
      <x:c r="F203" s="12" t="str">
        <x:v>Others</x:v>
      </x:c>
      <x:c r="G203" s="12" t="n">
        <x:v>1</x:v>
      </x:c>
      <x:c r="H203" s="12"/>
      <x:c r="I203" s="12" t="n">
        <x:v>1</x:v>
      </x:c>
      <x:c r="J203" s="12" t="n">
        <x:v>0</x:v>
      </x:c>
      <x:c r="K203" s="10" t="n">
        <x:v>300</x:v>
      </x:c>
      <x:c r="L203" s="10" t="n">
        <x:v>0</x:v>
      </x:c>
      <x:c r="M203" s="10" t="n">
        <x:v>300</x:v>
      </x:c>
      <x:c r="N203" s="11"/>
      <x:c r="O203" s="2" t="str">
        <x:v>已求解但目标不匹配</x:v>
      </x:c>
      <x:c r="P203" s="2" t="str">
        <x:v>completed</x:v>
      </x:c>
      <x:c r="Q203" s="2"/>
      <x:c r="R203" s="2" t="str">
        <x:v>TP,NRM,RA,FLP,AP</x:v>
      </x:c>
      <x:c r="S203" s="13"/>
    </x:row>
    <x:row r="204" ht="23" customHeight="1">
      <x:c r="A204" s="12" t="n">
        <x:v>2</x:v>
      </x:c>
      <x:c r="B204" s="12" t="str">
        <x:v>OR-099</x:v>
      </x:c>
      <x:c r="C204" s="12" t="str">
        <x:v>FLP</x:v>
      </x:c>
      <x:c r="D204" s="12" t="str">
        <x:v>Mixture</x:v>
      </x:c>
      <x:c r="E204" s="12" t="str">
        <x:v>Others</x:v>
      </x:c>
      <x:c r="F204" s="12" t="str">
        <x:v>FLP</x:v>
      </x:c>
      <x:c r="G204" s="12" t="n">
        <x:v>1</x:v>
      </x:c>
      <x:c r="H204" s="12"/>
      <x:c r="I204" s="12" t="n">
        <x:v>1</x:v>
      </x:c>
      <x:c r="J204" s="12" t="n">
        <x:v>1</x:v>
      </x:c>
      <x:c r="K204" s="10" t="n">
        <x:v>10419</x:v>
      </x:c>
      <x:c r="L204" s="10" t="n">
        <x:v>10419</x:v>
      </x:c>
      <x:c r="M204" s="10" t="n">
        <x:v>0</x:v>
      </x:c>
      <x:c r="N204" s="11" t="n">
        <x:v>0</x:v>
      </x:c>
      <x:c r="O204" s="2" t="str">
        <x:v>目标匹配</x:v>
      </x:c>
      <x:c r="P204" s="2" t="str">
        <x:v>completed</x:v>
      </x:c>
      <x:c r="Q204" s="2"/>
      <x:c r="R204" s="2" t="str">
        <x:v>TP,NRM,RA,AP,Mixture,Others</x:v>
      </x:c>
      <x:c r="S204" s="13"/>
    </x:row>
    <x:row r="205" ht="23" customHeight="1">
      <x:c r="A205" s="12" t="n">
        <x:v>2</x:v>
      </x:c>
      <x:c r="B205" s="12" t="str">
        <x:v>OR-100</x:v>
      </x:c>
      <x:c r="C205" s="12" t="str">
        <x:v>Others</x:v>
      </x:c>
      <x:c r="D205" s="12" t="str">
        <x:v>RA</x:v>
      </x:c>
      <x:c r="E205" s="12" t="str">
        <x:v>RA</x:v>
      </x:c>
      <x:c r="F205" s="12" t="str">
        <x:v>Others</x:v>
      </x:c>
      <x:c r="G205" s="12" t="n">
        <x:v>1</x:v>
      </x:c>
      <x:c r="H205" s="12"/>
      <x:c r="I205" s="12" t="n">
        <x:v>1</x:v>
      </x:c>
      <x:c r="J205" s="12" t="n">
        <x:v>0</x:v>
      </x:c>
      <x:c r="K205" s="10" t="n">
        <x:v>1382045</x:v>
      </x:c>
      <x:c r="L205" s="10" t="n">
        <x:v>1382200.722</x:v>
      </x:c>
      <x:c r="M205" s="10" t="n">
        <x:v>155.72200000006706</x:v>
      </x:c>
      <x:c r="N205" s="11" t="n">
        <x:v>0.00011266236337566249</x:v>
      </x:c>
      <x:c r="O205" s="2" t="str">
        <x:v>已求解但目标不匹配</x:v>
      </x:c>
      <x:c r="P205" s="2" t="str">
        <x:v>completed</x:v>
      </x:c>
      <x:c r="Q205" s="2"/>
      <x:c r="R205" s="2" t="str">
        <x:v>TP,NRM,RA,FLP,AP</x:v>
      </x:c>
      <x:c r="S205" s="13"/>
    </x:row>
    <x:row r="206" ht="23" customHeight="1">
      <x:c r="A206" s="12" t="n">
        <x:v>2</x:v>
      </x:c>
      <x:c r="B206" s="12" t="str">
        <x:v>OR-101</x:v>
      </x:c>
      <x:c r="C206" s="12" t="str">
        <x:v>Mixture</x:v>
      </x:c>
      <x:c r="D206" s="12" t="str">
        <x:v>RA</x:v>
      </x:c>
      <x:c r="E206" s="12" t="str">
        <x:v>RA</x:v>
      </x:c>
      <x:c r="F206" s="12" t="str">
        <x:v>Others</x:v>
      </x:c>
      <x:c r="G206" s="12" t="n">
        <x:v>1</x:v>
      </x:c>
      <x:c r="H206" s="12"/>
      <x:c r="I206" s="12" t="n">
        <x:v>0</x:v>
      </x:c>
      <x:c r="J206" s="12" t="n">
        <x:v>0</x:v>
      </x:c>
      <x:c r="K206" s="10"/>
      <x:c r="L206" s="10" t="n">
        <x:v>25820.15</x:v>
      </x:c>
      <x:c r="M206" s="10"/>
      <x:c r="N206" s="11"/>
      <x:c r="O206" s="2" t="str">
        <x:v>执行失败</x:v>
      </x:c>
      <x:c r="P206" s="2" t="str">
        <x:v>code_generation</x:v>
      </x:c>
      <x:c r="Q206" s="2" t="str">
        <x:v>ValueError</x:v>
      </x:c>
      <x:c r="R206" s="2" t="str">
        <x:v>TP,NRM,RA,FLP,AP</x:v>
      </x:c>
      <x:c r="S206" s="13"/>
    </x:row>
  </x:sheetData>
  <x:mergeCells>
    <x:mergeCell ref="A1:S1"/>
    <x:mergeCell ref="A2:R2"/>
    <x:mergeCell ref="A3:R3"/>
  </x:mergeCells>
  <x:pageMargins left="0.7" right="0.7" top="0.75" bottom="0.75" header="0.3" footer="0.3"/>
  <x:tableParts count="1">
    <x:tablePart xmlns:r="http://schemas.openxmlformats.org/officeDocument/2006/relationships" r:id="R9fc20bbd108946a0"/>
  </x:tableParts>
</x:worksheet>
</file>